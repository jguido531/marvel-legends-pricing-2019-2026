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tables/table8.xml" ContentType="application/vnd.openxmlformats-officedocument.spreadsheetml.table+xml"/>
  <Override PartName="/xl/worksheets/sheet11.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worksheets/sheet14.xml" ContentType="application/vnd.openxmlformats-officedocument.spreadsheetml.worksheet+xml"/>
  <Override PartName="/xl/worksheets/sheet15.xml" ContentType="application/vnd.openxmlformats-officedocument.spreadsheetml.worksheet+xml"/>
  <Override PartName="/xl/drawings/drawing6.xml" ContentType="application/vnd.openxmlformats-officedocument.drawing+xml"/>
  <Override PartName="/xl/drawings/charts/chart7.xml" ContentType="application/vnd.openxmlformats-officedocument.drawingml.chart+xml"/>
  <Override PartName="/xl/worksheets/sheet16.xml" ContentType="application/vnd.openxmlformats-officedocument.spreadsheetml.worksheet+xml"/>
  <Override PartName="/xl/worksheets/sheet17.xml" ContentType="application/vnd.openxmlformats-officedocument.spreadsheetml.worksheet+xml"/>
  <Override PartName="/xl/drawings/drawing7.xml" ContentType="application/vnd.openxmlformats-officedocument.drawing+xml"/>
  <Override PartName="/xl/drawings/charts/chart8.xml" ContentType="application/vnd.openxmlformats-officedocument.drawingml.char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8.xml" ContentType="application/vnd.openxmlformats-officedocument.drawing+xml"/>
  <Override PartName="/xl/drawings/charts/chart9.xml" ContentType="application/vnd.openxmlformats-officedocument.drawingml.char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73066db4204baa" /></Relationships>
</file>

<file path=xl/workbook.xml><?xml version="1.0" encoding="utf-8"?>
<x:workbook xmlns:x="http://schemas.openxmlformats.org/spreadsheetml/2006/main">
  <x:sheets>
    <x:sheet xmlns:r="http://schemas.openxmlformats.org/officeDocument/2006/relationships" name="Read Me" sheetId="1" r:id="Rf1c35d372e05478a"/>
    <x:sheet xmlns:r="http://schemas.openxmlformats.org/officeDocument/2006/relationships" name="Source Register" sheetId="2" r:id="R7ce41eea85ea454b"/>
    <x:sheet xmlns:r="http://schemas.openxmlformats.org/officeDocument/2006/relationships" name="Endpoint Snapshot" sheetId="3" r:id="Rbc33a3ea8b84400b"/>
    <x:sheet xmlns:r="http://schemas.openxmlformats.org/officeDocument/2006/relationships" name="MSRP Timeline" sheetId="4" r:id="R5bec7aa141f243ba"/>
    <x:sheet xmlns:r="http://schemas.openxmlformats.org/officeDocument/2006/relationships" name="Research Rules" sheetId="5" r:id="Rcc46374e23e346a5"/>
    <x:sheet xmlns:r="http://schemas.openxmlformats.org/officeDocument/2006/relationships" name="Monthly Master" sheetId="6" r:id="Rb9f71c6cda2e4a0b"/>
    <x:sheet xmlns:r="http://schemas.openxmlformats.org/officeDocument/2006/relationships" name="Data Status" sheetId="7" r:id="R04fd418256aa41df"/>
    <x:sheet xmlns:r="http://schemas.openxmlformats.org/officeDocument/2006/relationships" name="Normalized Comparison" sheetId="8" r:id="R81b2c663b8064663"/>
    <x:sheet xmlns:r="http://schemas.openxmlformats.org/officeDocument/2006/relationships" name="MSRP Transition Evidence" sheetId="9" r:id="R76228b5887ef417e"/>
    <x:sheet xmlns:r="http://schemas.openxmlformats.org/officeDocument/2006/relationships" name="Annual Labor" sheetId="10" r:id="R4a90c457ee764650"/>
    <x:sheet xmlns:r="http://schemas.openxmlformats.org/officeDocument/2006/relationships" name="Multinational Labor" sheetId="11" r:id="R50b76950b71846de"/>
    <x:sheet xmlns:r="http://schemas.openxmlformats.org/officeDocument/2006/relationships" name="Researcher Decision Log" sheetId="12" r:id="R9f64b74e52bb4cbc"/>
    <x:sheet xmlns:r="http://schemas.openxmlformats.org/officeDocument/2006/relationships" name="Hasbro COGS History" sheetId="13" r:id="R33c690de93a14122"/>
    <x:sheet xmlns:r="http://schemas.openxmlformats.org/officeDocument/2006/relationships" name="Industry Expert Context" sheetId="14" r:id="R359ee3a9168a449b"/>
    <x:sheet xmlns:r="http://schemas.openxmlformats.org/officeDocument/2006/relationships" name="Freight Analysis" sheetId="15" r:id="Rf284c17581e64a7d"/>
    <x:sheet xmlns:r="http://schemas.openxmlformats.org/officeDocument/2006/relationships" name="Tariff Analysis" sheetId="16" r:id="R8fe7d394a2d54541"/>
    <x:sheet xmlns:r="http://schemas.openxmlformats.org/officeDocument/2006/relationships" name="Demand Analysis" sheetId="17" r:id="R7b862a664b88451b"/>
    <x:sheet xmlns:r="http://schemas.openxmlformats.org/officeDocument/2006/relationships" name="FX Analysis" sheetId="18" r:id="R6886b6bf218d4c9b"/>
    <x:sheet xmlns:r="http://schemas.openxmlformats.org/officeDocument/2006/relationships" name="Labor Sensitivity" sheetId="19" r:id="R02afc498e5ff45b8"/>
    <x:sheet xmlns:r="http://schemas.openxmlformats.org/officeDocument/2006/relationships" name="Packaging Analysis" sheetId="20" r:id="R145f152d07434201"/>
    <x:sheet xmlns:r="http://schemas.openxmlformats.org/officeDocument/2006/relationships" name="MSRP Sample Audit" sheetId="21" r:id="R5654f6766d5f482d"/>
    <x:sheet xmlns:r="http://schemas.openxmlformats.org/officeDocument/2006/relationships" name="Model Prep Diagnostics" sheetId="22" r:id="R33d04a6142264944"/>
    <x:sheet xmlns:r="http://schemas.openxmlformats.org/officeDocument/2006/relationships" name="Regression Analysis" sheetId="23" r:id="R5267e701fde845ab"/>
    <x:sheet xmlns:r="http://schemas.openxmlformats.org/officeDocument/2006/relationships" name="Regression Robustness" sheetId="24" r:id="R1d9d6d3e59144b49"/>
    <x:sheet xmlns:r="http://schemas.openxmlformats.org/officeDocument/2006/relationships" name="Evidence Synthesis" sheetId="25" r:id="R4eef341e104e4cde"/>
    <x:sheet xmlns:r="http://schemas.openxmlformats.org/officeDocument/2006/relationships" name="Decision Appendix Draft" sheetId="26" r:id="Re4dbbfd7af454e13"/>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mmm yyyy"/>
    <x:numFmt numFmtId="201" formatCode="0.000"/>
    <x:numFmt numFmtId="202" formatCode="0.0%"/>
    <x:numFmt numFmtId="203" formatCode="$0.00"/>
    <x:numFmt numFmtId="204" formatCode="0.0000"/>
    <x:numFmt numFmtId="205" formatCode="0.0"/>
    <x:numFmt numFmtId="206" formatCode="mmm d, yyyy"/>
    <x:numFmt numFmtId="207" formatCode="#,##0"/>
    <x:numFmt numFmtId="208" formatCode="0"/>
    <x:numFmt numFmtId="209" formatCode="#,##0.0"/>
    <x:numFmt numFmtId="210" formatCode="$#,##0"/>
    <x:numFmt numFmtId="211" formatCode="mmm-yy"/>
  </x:numFmts>
  <x:fonts count="5">
    <x:font>
      <x:sz val="11"/>
      <x:name val="Carlito"/>
    </x:font>
    <x:font>
      <x:b/>
      <x:sz val="11"/>
      <x:color rgb="FFFFFFFF"/>
      <x:name val="Carlito"/>
    </x:font>
    <x:font>
      <x:i/>
      <x:sz val="11"/>
      <x:name val="Carlito"/>
    </x:font>
    <x:font>
      <x:b/>
      <x:sz val="11"/>
      <x:name val="Carlito"/>
    </x:font>
    <x:font>
      <x:b/>
      <x:sz val="14"/>
      <x:color rgb="FFFFFFFF"/>
      <x:name val="Carlito"/>
    </x:font>
  </x:fonts>
  <x:fills count="103">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A5A5A5"/>
      </x:patternFill>
    </x:fill>
    <x:fill>
      <x:patternFill patternType="solid">
        <x:fgColor rgb="FF7F8C8D"/>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A5A5A5"/>
      </x:patternFill>
    </x:fill>
    <x:fill>
      <x:patternFill patternType="solid">
        <x:fgColor rgb="FF8064A2"/>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A5A5A5"/>
      </x:patternFill>
    </x:fill>
    <x:fill>
      <x:patternFill patternType="solid">
        <x:fgColor rgb="FF8064A2"/>
      </x:patternFill>
    </x:fill>
    <x:fill>
      <x:patternFill patternType="solid">
        <x:fgColor rgb="FFC55A11"/>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A5A5A5"/>
      </x:patternFill>
    </x:fill>
    <x:fill>
      <x:patternFill patternType="solid">
        <x:fgColor rgb="FFC55A11"/>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C55A11"/>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C55A11"/>
      </x:patternFill>
    </x:fill>
    <x:fill>
      <x:patternFill patternType="solid">
        <x:fgColor rgb="FFA5A5A5"/>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C55A11"/>
      </x:patternFill>
    </x:fill>
    <x:fill>
      <x:patternFill patternType="solid">
        <x:fgColor rgb="FFA5A5A5"/>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C55A11"/>
      </x:patternFill>
    </x:fill>
    <x:fill>
      <x:patternFill patternType="solid">
        <x:fgColor rgb="FF4472C4"/>
      </x:patternFill>
    </x:fill>
    <x:fill>
      <x:patternFill patternType="solid">
        <x:fgColor rgb="FFA5A5A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C55A11"/>
      </x:patternFill>
    </x:fill>
    <x:fill>
      <x:patternFill patternType="solid">
        <x:fgColor rgb="FFA5A5A5"/>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
      <x:patternFill patternType="solid">
        <x:fgColor rgb="FFC55A11"/>
      </x:patternFill>
    </x:fill>
    <x:fill>
      <x:patternFill patternType="solid">
        <x:fgColor rgb="FFA5A5A5"/>
      </x:patternFill>
    </x:fill>
    <x:fill>
      <x:patternFill patternType="solid">
        <x:fgColor rgb="FF4472C4"/>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C55A11"/>
      </x:patternFill>
    </x:fill>
    <x:fill>
      <x:patternFill patternType="solid">
        <x:fgColor rgb="FFA5A5A5"/>
      </x:patternFill>
    </x:fill>
  </x:fills>
  <x:borders count="2">
    <x:border/>
    <x:border/>
  </x:borders>
  <x:cellStyleXfs count="1">
    <x:xf numFmtId="0" fontId="0" fillId="0" borderId="0"/>
  </x:cellStyleXfs>
  <x:cellXfs count="3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0" fillId="0" borderId="0" xfId="0" applyNumberFormat="1" applyFont="1" applyFill="1" applyBorder="1"/>
    <x:xf numFmtId="204"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205" fontId="0" fillId="0" borderId="0" xfId="0" applyNumberFormat="1" applyFont="1" applyFill="1" applyBorder="1"/>
    <x:xf numFmtId="205" fontId="0" fillId="0"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top"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206" fontId="0" fillId="0" borderId="0" xfId="0" applyNumberFormat="1" applyFont="1" applyFill="1" applyBorder="1"/>
    <x:xf numFmtId="206" fontId="0" fillId="0" borderId="0" xfId="0" applyNumberFormat="1" applyFont="1" applyFill="1" applyBorder="1" applyAlignment="1">
      <x:alignment wrapText="1"/>
    </x:xf>
    <x:xf numFmtId="0" fontId="2" fillId="7" borderId="0" xfId="0" applyNumberFormat="1" applyFont="1" applyFill="1" applyBorder="1" applyAlignment="1">
      <x:alignment vertical="top"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207" fontId="0" fillId="0" borderId="0" xfId="0" applyNumberFormat="1" applyFont="1" applyFill="1" applyBorder="1"/>
    <x:xf numFmtId="207" fontId="0" fillId="0" borderId="0" xfId="0" applyNumberFormat="1" applyFont="1" applyFill="1" applyBorder="1" applyAlignment="1">
      <x:alignment wrapText="1"/>
    </x:xf>
    <x:xf numFmtId="208" fontId="0" fillId="0"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3" fillId="12" borderId="0" xfId="0" applyNumberFormat="1" applyFont="1" applyFill="1" applyBorder="1" applyAlignment="1">
      <x:alignment wrapText="1"/>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center"/>
    </x:xf>
    <x:xf numFmtId="0" fontId="4" fillId="13" borderId="0" xfId="0" applyNumberFormat="1" applyFont="1" applyFill="1" applyBorder="1" applyAlignment="1">
      <x:alignment horizontal="center" vertical="center"/>
    </x:xf>
    <x:xf numFmtId="0" fontId="0" fillId="14" borderId="0" xfId="0" applyNumberFormat="1" applyFont="1" applyFill="1" applyBorder="1"/>
    <x:xf numFmtId="0" fontId="0" fillId="14" borderId="0" xfId="0" applyNumberFormat="1" applyFont="1" applyFill="1" applyBorder="1" applyAlignment="1">
      <x:alignment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209" fontId="0" fillId="0" borderId="0" xfId="0" applyNumberFormat="1" applyFont="1" applyFill="1" applyBorder="1"/>
    <x:xf numFmtId="209" fontId="0" fillId="0" borderId="0" xfId="0" applyNumberFormat="1" applyFont="1" applyFill="1" applyBorder="1" applyAlignment="1">
      <x:alignment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3" fillId="14"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0" fillId="19" borderId="0" xfId="0" applyNumberFormat="1" applyFont="1" applyFill="1" applyBorder="1"/>
    <x:xf numFmtId="0" fontId="4" fillId="19" borderId="0" xfId="0" applyNumberFormat="1" applyFont="1" applyFill="1" applyBorder="1"/>
    <x:xf numFmtId="0" fontId="4" fillId="19" borderId="0" xfId="0" applyNumberFormat="1" applyFont="1" applyFill="1" applyBorder="1" applyAlignment="1">
      <x:alignment horizontal="center"/>
    </x:xf>
    <x:xf numFmtId="0" fontId="4" fillId="19" borderId="0" xfId="0" applyNumberFormat="1" applyFont="1" applyFill="1" applyBorder="1" applyAlignment="1">
      <x:alignment horizontal="center" vertical="center"/>
    </x:xf>
    <x:xf numFmtId="0" fontId="0" fillId="20" borderId="0" xfId="0" applyNumberFormat="1" applyFont="1" applyFill="1" applyBorder="1"/>
    <x:xf numFmtId="0" fontId="0" fillId="20" borderId="0" xfId="0" applyNumberFormat="1" applyFont="1" applyFill="1" applyBorder="1" applyAlignment="1">
      <x:alignment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wrapText="1"/>
    </x:xf>
    <x:xf numFmtId="0" fontId="1" fillId="21" borderId="0" xfId="0" applyNumberFormat="1" applyFont="1" applyFill="1" applyBorder="1" applyAlignment="1">
      <x:alignment horizontal="center" wrapText="1"/>
    </x:xf>
    <x:xf numFmtId="0" fontId="1" fillId="21" borderId="0" xfId="0" applyNumberFormat="1" applyFont="1" applyFill="1" applyBorder="1" applyAlignment="1">
      <x:alignment horizontal="center" vertical="center"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3" fillId="20" borderId="0" xfId="0" applyNumberFormat="1" applyFont="1" applyFill="1" applyBorder="1" applyAlignment="1">
      <x:alignment wrapText="1"/>
    </x:xf>
    <x:xf numFmtId="205" fontId="2" fillId="4" borderId="0" xfId="0" applyNumberFormat="1" applyFont="1" applyFill="1" applyBorder="1" applyAlignment="1">
      <x:alignment vertical="top" wrapText="1"/>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center"/>
    </x:xf>
    <x:xf numFmtId="0" fontId="0" fillId="24" borderId="0" xfId="0" applyNumberFormat="1" applyFont="1" applyFill="1" applyBorder="1"/>
    <x:xf numFmtId="0" fontId="0" fillId="24" borderId="0" xfId="0" applyNumberFormat="1" applyFont="1" applyFill="1" applyBorder="1" applyAlignment="1">
      <x:alignment wrapText="1"/>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wrapText="1"/>
    </x:xf>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wrapText="1"/>
    </x:xf>
    <x:xf numFmtId="0" fontId="0" fillId="27" borderId="0" xfId="0" applyNumberFormat="1" applyFont="1" applyFill="1" applyBorder="1"/>
    <x:xf numFmtId="0" fontId="1" fillId="27" borderId="0" xfId="0" applyNumberFormat="1" applyFont="1" applyFill="1" applyBorder="1"/>
    <x:xf numFmtId="0" fontId="1" fillId="27" borderId="0" xfId="0" applyNumberFormat="1" applyFont="1" applyFill="1" applyBorder="1" applyAlignment="1">
      <x:alignment wrapText="1"/>
    </x:xf>
    <x:xf numFmtId="210" fontId="0" fillId="0" borderId="0" xfId="0" applyNumberFormat="1" applyFont="1" applyFill="1" applyBorder="1"/>
    <x:xf numFmtId="210" fontId="0" fillId="0" borderId="0" xfId="0" applyNumberFormat="1" applyFont="1" applyFill="1" applyBorder="1" applyAlignment="1">
      <x:alignment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3" fillId="24" borderId="0" xfId="0" applyNumberFormat="1" applyFont="1" applyFill="1" applyBorder="1" applyAlignment="1">
      <x:alignment wrapText="1"/>
    </x:xf>
    <x:xf numFmtId="0" fontId="1" fillId="17" borderId="0" xfId="0" applyNumberFormat="1" applyFont="1" applyFill="1" applyBorder="1" applyAlignment="1">
      <x:alignment wrapText="1"/>
    </x:xf>
    <x:xf numFmtId="0" fontId="0" fillId="29" borderId="0" xfId="0" applyNumberFormat="1" applyFont="1" applyFill="1" applyBorder="1" applyAlignment="1">
      <x:alignment wrapText="1"/>
    </x:xf>
    <x:xf numFmtId="0" fontId="3" fillId="29" borderId="0" xfId="0" applyNumberFormat="1" applyFont="1" applyFill="1" applyBorder="1" applyAlignment="1">
      <x:alignment wrapText="1"/>
    </x:xf>
    <x:xf numFmtId="0" fontId="0" fillId="30" borderId="0" xfId="0" applyNumberFormat="1" applyFont="1" applyFill="1" applyBorder="1"/>
    <x:xf numFmtId="0" fontId="4" fillId="30" borderId="0" xfId="0" applyNumberFormat="1" applyFont="1" applyFill="1" applyBorder="1"/>
    <x:xf numFmtId="0" fontId="4" fillId="30" borderId="0" xfId="0" applyNumberFormat="1" applyFont="1" applyFill="1" applyBorder="1" applyAlignment="1">
      <x:alignment horizontal="center"/>
    </x:xf>
    <x:xf numFmtId="0" fontId="4" fillId="30" borderId="0" xfId="0" applyNumberFormat="1" applyFont="1" applyFill="1" applyBorder="1" applyAlignment="1">
      <x:alignment horizontal="center" vertical="center"/>
    </x:xf>
    <x:xf numFmtId="0" fontId="0" fillId="31" borderId="0" xfId="0" applyNumberFormat="1" applyFont="1" applyFill="1" applyBorder="1"/>
    <x:xf numFmtId="0" fontId="0" fillId="31" borderId="0" xfId="0" applyNumberFormat="1" applyFont="1" applyFill="1" applyBorder="1" applyAlignment="1">
      <x:alignment wrapText="1"/>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wrapText="1"/>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wrapText="1"/>
    </x:xf>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wrapText="1"/>
    </x:xf>
    <x:xf numFmtId="0" fontId="0" fillId="35" borderId="0" xfId="0" applyNumberFormat="1" applyFont="1" applyFill="1" applyBorder="1"/>
    <x:xf numFmtId="0" fontId="1" fillId="35" borderId="0" xfId="0" applyNumberFormat="1" applyFont="1" applyFill="1" applyBorder="1"/>
    <x:xf numFmtId="0" fontId="1" fillId="35" borderId="0" xfId="0" applyNumberFormat="1" applyFont="1" applyFill="1" applyBorder="1" applyAlignment="1">
      <x:alignment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wrapText="1"/>
    </x:xf>
    <x:xf numFmtId="0" fontId="3" fillId="31" borderId="0" xfId="0" applyNumberFormat="1" applyFont="1" applyFill="1" applyBorder="1" applyAlignment="1">
      <x:alignment wrapText="1"/>
    </x:xf>
    <x:xf numFmtId="0" fontId="0" fillId="37" borderId="0" xfId="0" applyNumberFormat="1" applyFont="1" applyFill="1" applyBorder="1"/>
    <x:xf numFmtId="0" fontId="4" fillId="37" borderId="0" xfId="0" applyNumberFormat="1" applyFont="1" applyFill="1" applyBorder="1"/>
    <x:xf numFmtId="0" fontId="4" fillId="37" borderId="0" xfId="0" applyNumberFormat="1" applyFont="1" applyFill="1" applyBorder="1" applyAlignment="1">
      <x:alignment horizontal="center"/>
    </x:xf>
    <x:xf numFmtId="0" fontId="4" fillId="37" borderId="0" xfId="0" applyNumberFormat="1" applyFont="1" applyFill="1" applyBorder="1" applyAlignment="1">
      <x:alignment horizontal="center" vertical="center"/>
    </x:xf>
    <x:xf numFmtId="0" fontId="0" fillId="38" borderId="0" xfId="0" applyNumberFormat="1" applyFont="1" applyFill="1" applyBorder="1"/>
    <x:xf numFmtId="0" fontId="0" fillId="38" borderId="0" xfId="0" applyNumberFormat="1" applyFont="1" applyFill="1" applyBorder="1" applyAlignment="1">
      <x:alignment wrapText="1"/>
    </x:xf>
    <x:xf numFmtId="0" fontId="0" fillId="39" borderId="0" xfId="0" applyNumberFormat="1" applyFont="1" applyFill="1" applyBorder="1"/>
    <x:xf numFmtId="0" fontId="1" fillId="39" borderId="0" xfId="0" applyNumberFormat="1" applyFont="1" applyFill="1" applyBorder="1"/>
    <x:xf numFmtId="0" fontId="1" fillId="39" borderId="0" xfId="0" applyNumberFormat="1" applyFont="1" applyFill="1" applyBorder="1" applyAlignment="1">
      <x:alignment wrapText="1"/>
    </x:xf>
    <x:xf numFmtId="0" fontId="0" fillId="40" borderId="0" xfId="0" applyNumberFormat="1" applyFont="1" applyFill="1" applyBorder="1"/>
    <x:xf numFmtId="0" fontId="1" fillId="40" borderId="0" xfId="0" applyNumberFormat="1" applyFont="1" applyFill="1" applyBorder="1"/>
    <x:xf numFmtId="0" fontId="1" fillId="40" borderId="0" xfId="0" applyNumberFormat="1" applyFont="1" applyFill="1" applyBorder="1" applyAlignment="1">
      <x:alignment wrapText="1"/>
    </x:xf>
    <x:xf numFmtId="0" fontId="0" fillId="41"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0" fillId="42"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wrapText="1"/>
    </x:xf>
    <x:xf numFmtId="0" fontId="3" fillId="38" borderId="0" xfId="0" applyNumberFormat="1" applyFont="1" applyFill="1" applyBorder="1" applyAlignment="1">
      <x:alignment wrapText="1"/>
    </x:xf>
    <x:xf numFmtId="0" fontId="0" fillId="44" borderId="0" xfId="0" applyNumberFormat="1" applyFont="1" applyFill="1" applyBorder="1"/>
    <x:xf numFmtId="0" fontId="4" fillId="44" borderId="0" xfId="0" applyNumberFormat="1" applyFont="1" applyFill="1" applyBorder="1"/>
    <x:xf numFmtId="0" fontId="4" fillId="44" borderId="0" xfId="0" applyNumberFormat="1" applyFont="1" applyFill="1" applyBorder="1" applyAlignment="1">
      <x:alignment horizontal="center"/>
    </x:xf>
    <x:xf numFmtId="0" fontId="0" fillId="45" borderId="0" xfId="0" applyNumberFormat="1" applyFont="1" applyFill="1" applyBorder="1"/>
    <x:xf numFmtId="0" fontId="0" fillId="45" borderId="0" xfId="0" applyNumberFormat="1" applyFont="1" applyFill="1" applyBorder="1" applyAlignment="1">
      <x:alignment wrapText="1"/>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wrapText="1"/>
    </x:xf>
    <x:xf numFmtId="204" fontId="0" fillId="0"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1" fillId="48" borderId="0" xfId="0" applyNumberFormat="1" applyFont="1" applyFill="1" applyBorder="1"/>
    <x:xf numFmtId="0" fontId="1" fillId="48" borderId="0" xfId="0" applyNumberFormat="1" applyFont="1" applyFill="1" applyBorder="1" applyAlignment="1">
      <x:alignment wrapText="1"/>
    </x:xf>
    <x:xf numFmtId="0" fontId="3" fillId="45" borderId="0" xfId="0" applyNumberFormat="1" applyFont="1" applyFill="1" applyBorder="1" applyAlignment="1">
      <x:alignment wrapText="1"/>
    </x:xf>
    <x:xf numFmtId="0" fontId="0" fillId="49" borderId="0" xfId="0" applyNumberFormat="1" applyFont="1" applyFill="1" applyBorder="1"/>
    <x:xf numFmtId="0" fontId="4" fillId="49" borderId="0" xfId="0" applyNumberFormat="1" applyFont="1" applyFill="1" applyBorder="1"/>
    <x:xf numFmtId="0" fontId="4" fillId="49" borderId="0" xfId="0" applyNumberFormat="1" applyFont="1" applyFill="1" applyBorder="1" applyAlignment="1">
      <x:alignment horizontal="center"/>
    </x:xf>
    <x:xf numFmtId="0" fontId="4" fillId="49" borderId="0" xfId="0" applyNumberFormat="1" applyFont="1" applyFill="1" applyBorder="1" applyAlignment="1">
      <x:alignment horizontal="center" vertical="center"/>
    </x:xf>
    <x:xf numFmtId="0" fontId="0" fillId="50" borderId="0" xfId="0" applyNumberFormat="1" applyFont="1" applyFill="1" applyBorder="1"/>
    <x:xf numFmtId="0" fontId="0" fillId="50" borderId="0" xfId="0" applyNumberFormat="1" applyFont="1" applyFill="1" applyBorder="1" applyAlignment="1">
      <x:alignment wrapText="1"/>
    </x:xf>
    <x:xf numFmtId="0" fontId="0" fillId="51" borderId="0" xfId="0" applyNumberFormat="1" applyFont="1" applyFill="1" applyBorder="1"/>
    <x:xf numFmtId="0" fontId="1" fillId="51" borderId="0" xfId="0" applyNumberFormat="1" applyFont="1" applyFill="1" applyBorder="1"/>
    <x:xf numFmtId="0" fontId="1" fillId="51" borderId="0" xfId="0" applyNumberFormat="1" applyFont="1" applyFill="1" applyBorder="1" applyAlignment="1">
      <x:alignment wrapText="1"/>
    </x:xf>
    <x:xf numFmtId="0" fontId="0" fillId="52" borderId="0" xfId="0" applyNumberFormat="1" applyFont="1" applyFill="1" applyBorder="1"/>
    <x:xf numFmtId="0" fontId="1" fillId="52" borderId="0" xfId="0" applyNumberFormat="1" applyFont="1" applyFill="1" applyBorder="1"/>
    <x:xf numFmtId="0" fontId="1" fillId="52" borderId="0" xfId="0" applyNumberFormat="1" applyFont="1" applyFill="1" applyBorder="1" applyAlignment="1">
      <x:alignment wrapText="1"/>
    </x:xf>
    <x:xf numFmtId="0" fontId="0" fillId="53" borderId="0" xfId="0" applyNumberFormat="1" applyFont="1" applyFill="1" applyBorder="1"/>
    <x:xf numFmtId="0" fontId="1" fillId="53" borderId="0" xfId="0" applyNumberFormat="1" applyFont="1" applyFill="1" applyBorder="1"/>
    <x:xf numFmtId="0" fontId="1" fillId="53" borderId="0" xfId="0" applyNumberFormat="1" applyFont="1" applyFill="1" applyBorder="1" applyAlignment="1">
      <x:alignment wrapText="1"/>
    </x:xf>
    <x:xf numFmtId="0" fontId="0" fillId="54" borderId="0" xfId="0" applyNumberFormat="1" applyFont="1" applyFill="1" applyBorder="1"/>
    <x:xf numFmtId="0" fontId="1" fillId="54" borderId="0" xfId="0" applyNumberFormat="1" applyFont="1" applyFill="1" applyBorder="1"/>
    <x:xf numFmtId="0" fontId="1" fillId="54" borderId="0" xfId="0" applyNumberFormat="1" applyFont="1" applyFill="1" applyBorder="1" applyAlignment="1">
      <x:alignment horizontal="center"/>
    </x:xf>
    <x:xf numFmtId="0" fontId="0" fillId="55" borderId="0" xfId="0" applyNumberFormat="1" applyFont="1" applyFill="1" applyBorder="1"/>
    <x:xf numFmtId="0" fontId="0" fillId="55" borderId="0" xfId="0" applyNumberFormat="1" applyFont="1" applyFill="1" applyBorder="1" applyAlignment="1">
      <x:alignment wrapText="1"/>
    </x:xf>
    <x:xf numFmtId="0" fontId="0" fillId="55" borderId="0" xfId="0" applyNumberFormat="1" applyFont="1" applyFill="1" applyBorder="1" applyAlignment="1">
      <x:alignment vertical="top" wrapText="1"/>
    </x:xf>
    <x:xf numFmtId="0" fontId="3" fillId="50" borderId="0" xfId="0" applyNumberFormat="1" applyFont="1" applyFill="1" applyBorder="1" applyAlignment="1">
      <x:alignment wrapText="1"/>
    </x:xf>
    <x:xf numFmtId="0" fontId="1" fillId="36" borderId="0" xfId="0" applyNumberFormat="1" applyFont="1" applyFill="1" applyBorder="1" applyAlignment="1">
      <x:alignment horizontal="center"/>
    </x:xf>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56" borderId="0" xfId="0" applyNumberFormat="1" applyFont="1" applyFill="1" applyBorder="1"/>
    <x:xf numFmtId="0" fontId="4" fillId="56" borderId="0" xfId="0" applyNumberFormat="1" applyFont="1" applyFill="1" applyBorder="1"/>
    <x:xf numFmtId="0" fontId="4" fillId="56" borderId="0" xfId="0" applyNumberFormat="1" applyFont="1" applyFill="1" applyBorder="1" applyAlignment="1">
      <x:alignment horizontal="center"/>
    </x:xf>
    <x:xf numFmtId="0" fontId="0" fillId="57" borderId="0" xfId="0" applyNumberFormat="1" applyFont="1" applyFill="1" applyBorder="1"/>
    <x:xf numFmtId="0" fontId="0" fillId="57" borderId="0" xfId="0" applyNumberFormat="1" applyFont="1" applyFill="1" applyBorder="1" applyAlignment="1">
      <x:alignment wrapText="1"/>
    </x:xf>
    <x:xf numFmtId="0" fontId="0" fillId="58" borderId="0" xfId="0" applyNumberFormat="1" applyFont="1" applyFill="1" applyBorder="1"/>
    <x:xf numFmtId="0" fontId="1" fillId="58" borderId="0" xfId="0" applyNumberFormat="1" applyFont="1" applyFill="1" applyBorder="1"/>
    <x:xf numFmtId="0" fontId="1" fillId="58" borderId="0" xfId="0" applyNumberFormat="1" applyFont="1" applyFill="1" applyBorder="1" applyAlignment="1">
      <x:alignment wrapText="1"/>
    </x:xf>
    <x:xf numFmtId="0" fontId="0" fillId="59" borderId="0" xfId="0" applyNumberFormat="1" applyFont="1" applyFill="1" applyBorder="1"/>
    <x:xf numFmtId="0" fontId="1" fillId="59" borderId="0" xfId="0" applyNumberFormat="1" applyFont="1" applyFill="1" applyBorder="1"/>
    <x:xf numFmtId="0" fontId="1" fillId="59" borderId="0" xfId="0" applyNumberFormat="1" applyFont="1" applyFill="1" applyBorder="1" applyAlignment="1">
      <x:alignment wrapText="1"/>
    </x:xf>
    <x:xf numFmtId="0" fontId="0" fillId="60" borderId="0" xfId="0" applyNumberFormat="1" applyFont="1" applyFill="1" applyBorder="1"/>
    <x:xf numFmtId="0" fontId="1" fillId="60" borderId="0" xfId="0" applyNumberFormat="1" applyFont="1" applyFill="1" applyBorder="1"/>
    <x:xf numFmtId="0" fontId="1" fillId="60" borderId="0" xfId="0" applyNumberFormat="1" applyFont="1" applyFill="1" applyBorder="1" applyAlignment="1">
      <x:alignment wrapText="1"/>
    </x:xf>
    <x:xf numFmtId="0" fontId="0" fillId="61" borderId="0" xfId="0" applyNumberFormat="1" applyFont="1" applyFill="1" applyBorder="1"/>
    <x:xf numFmtId="0" fontId="1" fillId="61" borderId="0" xfId="0" applyNumberFormat="1" applyFont="1" applyFill="1" applyBorder="1"/>
    <x:xf numFmtId="0" fontId="1" fillId="61" borderId="0" xfId="0" applyNumberFormat="1" applyFont="1" applyFill="1" applyBorder="1" applyAlignment="1">
      <x:alignment wrapText="1"/>
    </x:xf>
    <x:xf numFmtId="0" fontId="0" fillId="62" borderId="0" xfId="0" applyNumberFormat="1" applyFont="1" applyFill="1" applyBorder="1"/>
    <x:xf numFmtId="0" fontId="1" fillId="62" borderId="0" xfId="0" applyNumberFormat="1" applyFont="1" applyFill="1" applyBorder="1"/>
    <x:xf numFmtId="0" fontId="1" fillId="62" borderId="0" xfId="0" applyNumberFormat="1" applyFont="1" applyFill="1" applyBorder="1" applyAlignment="1">
      <x:alignment wrapText="1"/>
    </x:xf>
    <x:xf numFmtId="0" fontId="0" fillId="63" borderId="0" xfId="0" applyNumberFormat="1" applyFont="1" applyFill="1" applyBorder="1" applyAlignment="1">
      <x:alignment wrapText="1"/>
    </x:xf>
    <x:xf numFmtId="0" fontId="1" fillId="63" borderId="0" xfId="0" applyNumberFormat="1" applyFont="1" applyFill="1" applyBorder="1" applyAlignment="1">
      <x:alignment wrapText="1"/>
    </x:xf>
    <x:xf numFmtId="211" fontId="0" fillId="0" borderId="0" xfId="0" applyNumberFormat="1" applyFont="1" applyFill="1" applyBorder="1"/>
    <x:xf numFmtId="0" fontId="3" fillId="57" borderId="0" xfId="0" applyNumberFormat="1" applyFont="1" applyFill="1" applyBorder="1" applyAlignment="1">
      <x:alignment wrapText="1"/>
    </x:xf>
    <x:xf numFmtId="0" fontId="0" fillId="64" borderId="0" xfId="0" applyNumberFormat="1" applyFont="1" applyFill="1" applyBorder="1"/>
    <x:xf numFmtId="0" fontId="4" fillId="64" borderId="0" xfId="0" applyNumberFormat="1" applyFont="1" applyFill="1" applyBorder="1"/>
    <x:xf numFmtId="0" fontId="4" fillId="64" borderId="0" xfId="0" applyNumberFormat="1" applyFont="1" applyFill="1" applyBorder="1" applyAlignment="1">
      <x:alignment horizontal="center"/>
    </x:xf>
    <x:xf numFmtId="0" fontId="0" fillId="65" borderId="0" xfId="0" applyNumberFormat="1" applyFont="1" applyFill="1" applyBorder="1"/>
    <x:xf numFmtId="0" fontId="0" fillId="65" borderId="0" xfId="0" applyNumberFormat="1" applyFont="1" applyFill="1" applyBorder="1" applyAlignment="1">
      <x:alignment wrapText="1"/>
    </x:xf>
    <x:xf numFmtId="0" fontId="0" fillId="66" borderId="0" xfId="0" applyNumberFormat="1" applyFont="1" applyFill="1" applyBorder="1"/>
    <x:xf numFmtId="0" fontId="1" fillId="66" borderId="0" xfId="0" applyNumberFormat="1" applyFont="1" applyFill="1" applyBorder="1"/>
    <x:xf numFmtId="0" fontId="1" fillId="66" borderId="0" xfId="0" applyNumberFormat="1" applyFont="1" applyFill="1" applyBorder="1" applyAlignment="1">
      <x:alignment wrapText="1"/>
    </x:xf>
    <x:xf numFmtId="0" fontId="0" fillId="67" borderId="0" xfId="0" applyNumberFormat="1" applyFont="1" applyFill="1" applyBorder="1"/>
    <x:xf numFmtId="0" fontId="1" fillId="67" borderId="0" xfId="0" applyNumberFormat="1" applyFont="1" applyFill="1" applyBorder="1"/>
    <x:xf numFmtId="0" fontId="1" fillId="67" borderId="0" xfId="0" applyNumberFormat="1" applyFont="1" applyFill="1" applyBorder="1" applyAlignment="1">
      <x:alignment wrapText="1"/>
    </x:xf>
    <x:xf numFmtId="0" fontId="0" fillId="68" borderId="0" xfId="0" applyNumberFormat="1" applyFont="1" applyFill="1" applyBorder="1"/>
    <x:xf numFmtId="0" fontId="1" fillId="68" borderId="0" xfId="0" applyNumberFormat="1" applyFont="1" applyFill="1" applyBorder="1"/>
    <x:xf numFmtId="0" fontId="1" fillId="68" borderId="0" xfId="0" applyNumberFormat="1" applyFont="1" applyFill="1" applyBorder="1" applyAlignment="1">
      <x:alignment wrapText="1"/>
    </x:xf>
    <x:xf numFmtId="0" fontId="0" fillId="69" borderId="0" xfId="0" applyNumberFormat="1" applyFont="1" applyFill="1" applyBorder="1"/>
    <x:xf numFmtId="0" fontId="1" fillId="69" borderId="0" xfId="0" applyNumberFormat="1" applyFont="1" applyFill="1" applyBorder="1"/>
    <x:xf numFmtId="0" fontId="1" fillId="69" borderId="0" xfId="0" applyNumberFormat="1" applyFont="1" applyFill="1" applyBorder="1" applyAlignment="1">
      <x:alignment wrapText="1"/>
    </x:xf>
    <x:xf numFmtId="0" fontId="0" fillId="70" borderId="0" xfId="0" applyNumberFormat="1" applyFont="1" applyFill="1" applyBorder="1"/>
    <x:xf numFmtId="0" fontId="1" fillId="70" borderId="0" xfId="0" applyNumberFormat="1" applyFont="1" applyFill="1" applyBorder="1"/>
    <x:xf numFmtId="0" fontId="1" fillId="70" borderId="0" xfId="0" applyNumberFormat="1" applyFont="1" applyFill="1" applyBorder="1" applyAlignment="1">
      <x:alignment wrapText="1"/>
    </x:xf>
    <x:xf numFmtId="0" fontId="0" fillId="71" borderId="0" xfId="0" applyNumberFormat="1" applyFont="1" applyFill="1" applyBorder="1"/>
    <x:xf numFmtId="0" fontId="1" fillId="71" borderId="0" xfId="0" applyNumberFormat="1" applyFont="1" applyFill="1" applyBorder="1"/>
    <x:xf numFmtId="0" fontId="1" fillId="71" borderId="0" xfId="0" applyNumberFormat="1" applyFont="1" applyFill="1" applyBorder="1" applyAlignment="1">
      <x:alignment wrapText="1"/>
    </x:xf>
    <x:xf numFmtId="0" fontId="3" fillId="65" borderId="0" xfId="0" applyNumberFormat="1" applyFont="1" applyFill="1" applyBorder="1" applyAlignment="1">
      <x:alignment wrapText="1"/>
    </x:xf>
    <x:xf numFmtId="0" fontId="0" fillId="63" borderId="0" xfId="0" applyNumberFormat="1" applyFont="1" applyFill="1" applyBorder="1"/>
    <x:xf numFmtId="0" fontId="1" fillId="63" borderId="0" xfId="0" applyNumberFormat="1" applyFont="1" applyFill="1" applyBorder="1"/>
    <x:xf numFmtId="0" fontId="0" fillId="72" borderId="0" xfId="0" applyNumberFormat="1" applyFont="1" applyFill="1" applyBorder="1"/>
    <x:xf numFmtId="0" fontId="4" fillId="72" borderId="0" xfId="0" applyNumberFormat="1" applyFont="1" applyFill="1" applyBorder="1"/>
    <x:xf numFmtId="0" fontId="4" fillId="72" borderId="0" xfId="0" applyNumberFormat="1" applyFont="1" applyFill="1" applyBorder="1" applyAlignment="1">
      <x:alignment horizontal="center"/>
    </x:xf>
    <x:xf numFmtId="0" fontId="0" fillId="73" borderId="0" xfId="0" applyNumberFormat="1" applyFont="1" applyFill="1" applyBorder="1"/>
    <x:xf numFmtId="0" fontId="0" fillId="73" borderId="0" xfId="0" applyNumberFormat="1" applyFont="1" applyFill="1" applyBorder="1" applyAlignment="1">
      <x:alignment wrapText="1"/>
    </x:xf>
    <x:xf numFmtId="0" fontId="0" fillId="74" borderId="0" xfId="0" applyNumberFormat="1" applyFont="1" applyFill="1" applyBorder="1"/>
    <x:xf numFmtId="0" fontId="1" fillId="74" borderId="0" xfId="0" applyNumberFormat="1" applyFont="1" applyFill="1" applyBorder="1"/>
    <x:xf numFmtId="0" fontId="1" fillId="74" borderId="0" xfId="0" applyNumberFormat="1" applyFont="1" applyFill="1" applyBorder="1" applyAlignment="1">
      <x:alignment wrapText="1"/>
    </x:xf>
    <x:xf numFmtId="0" fontId="0" fillId="75" borderId="0" xfId="0" applyNumberFormat="1" applyFont="1" applyFill="1" applyBorder="1"/>
    <x:xf numFmtId="0" fontId="1" fillId="75" borderId="0" xfId="0" applyNumberFormat="1" applyFont="1" applyFill="1" applyBorder="1"/>
    <x:xf numFmtId="0" fontId="1" fillId="75" borderId="0" xfId="0" applyNumberFormat="1" applyFont="1" applyFill="1" applyBorder="1" applyAlignment="1">
      <x:alignment wrapText="1"/>
    </x:xf>
    <x:xf numFmtId="0" fontId="0" fillId="76" borderId="0" xfId="0" applyNumberFormat="1" applyFont="1" applyFill="1" applyBorder="1"/>
    <x:xf numFmtId="0" fontId="1" fillId="76" borderId="0" xfId="0" applyNumberFormat="1" applyFont="1" applyFill="1" applyBorder="1"/>
    <x:xf numFmtId="0" fontId="1" fillId="76" borderId="0" xfId="0" applyNumberFormat="1" applyFont="1" applyFill="1" applyBorder="1" applyAlignment="1">
      <x:alignment wrapText="1"/>
    </x:xf>
    <x:xf numFmtId="0" fontId="0" fillId="77" borderId="0" xfId="0" applyNumberFormat="1" applyFont="1" applyFill="1" applyBorder="1"/>
    <x:xf numFmtId="0" fontId="1" fillId="77" borderId="0" xfId="0" applyNumberFormat="1" applyFont="1" applyFill="1" applyBorder="1"/>
    <x:xf numFmtId="0" fontId="1" fillId="77" borderId="0" xfId="0" applyNumberFormat="1" applyFont="1" applyFill="1" applyBorder="1" applyAlignment="1">
      <x:alignment wrapText="1"/>
    </x:xf>
    <x:xf numFmtId="0" fontId="0" fillId="78" borderId="0" xfId="0" applyNumberFormat="1" applyFont="1" applyFill="1" applyBorder="1"/>
    <x:xf numFmtId="0" fontId="1" fillId="78" borderId="0" xfId="0" applyNumberFormat="1" applyFont="1" applyFill="1" applyBorder="1"/>
    <x:xf numFmtId="0" fontId="1" fillId="78" borderId="0" xfId="0" applyNumberFormat="1" applyFont="1" applyFill="1" applyBorder="1" applyAlignment="1">
      <x:alignment wrapText="1"/>
    </x:xf>
    <x:xf numFmtId="0" fontId="0" fillId="79" borderId="0" xfId="0" applyNumberFormat="1" applyFont="1" applyFill="1" applyBorder="1"/>
    <x:xf numFmtId="0" fontId="1" fillId="79" borderId="0" xfId="0" applyNumberFormat="1" applyFont="1" applyFill="1" applyBorder="1"/>
    <x:xf numFmtId="0" fontId="1" fillId="79" borderId="0" xfId="0" applyNumberFormat="1" applyFont="1" applyFill="1" applyBorder="1" applyAlignment="1">
      <x:alignment wrapText="1"/>
    </x:xf>
    <x:xf numFmtId="0" fontId="3" fillId="73" borderId="0" xfId="0" applyNumberFormat="1" applyFont="1" applyFill="1" applyBorder="1" applyAlignment="1">
      <x:alignment wrapText="1"/>
    </x:xf>
    <x:xf numFmtId="0" fontId="0" fillId="80" borderId="0" xfId="0" applyNumberFormat="1" applyFont="1" applyFill="1" applyBorder="1"/>
    <x:xf numFmtId="0" fontId="4" fillId="80" borderId="0" xfId="0" applyNumberFormat="1" applyFont="1" applyFill="1" applyBorder="1"/>
    <x:xf numFmtId="0" fontId="4" fillId="80" borderId="0" xfId="0" applyNumberFormat="1" applyFont="1" applyFill="1" applyBorder="1" applyAlignment="1">
      <x:alignment horizontal="center"/>
    </x:xf>
    <x:xf numFmtId="0" fontId="0" fillId="81" borderId="0" xfId="0" applyNumberFormat="1" applyFont="1" applyFill="1" applyBorder="1"/>
    <x:xf numFmtId="0" fontId="0" fillId="81" borderId="0" xfId="0" applyNumberFormat="1" applyFont="1" applyFill="1" applyBorder="1" applyAlignment="1">
      <x:alignment wrapText="1"/>
    </x:xf>
    <x:xf numFmtId="0" fontId="0" fillId="82" borderId="0" xfId="0" applyNumberFormat="1" applyFont="1" applyFill="1" applyBorder="1"/>
    <x:xf numFmtId="0" fontId="1" fillId="82" borderId="0" xfId="0" applyNumberFormat="1" applyFont="1" applyFill="1" applyBorder="1"/>
    <x:xf numFmtId="0" fontId="1" fillId="82" borderId="0" xfId="0" applyNumberFormat="1" applyFont="1" applyFill="1" applyBorder="1" applyAlignment="1">
      <x:alignment wrapText="1"/>
    </x:xf>
    <x:xf numFmtId="0" fontId="0" fillId="83" borderId="0" xfId="0" applyNumberFormat="1" applyFont="1" applyFill="1" applyBorder="1"/>
    <x:xf numFmtId="0" fontId="1" fillId="83" borderId="0" xfId="0" applyNumberFormat="1" applyFont="1" applyFill="1" applyBorder="1"/>
    <x:xf numFmtId="0" fontId="1" fillId="83" borderId="0" xfId="0" applyNumberFormat="1" applyFont="1" applyFill="1" applyBorder="1" applyAlignment="1">
      <x:alignment wrapText="1"/>
    </x:xf>
    <x:xf numFmtId="0" fontId="0" fillId="84" borderId="0" xfId="0" applyNumberFormat="1" applyFont="1" applyFill="1" applyBorder="1"/>
    <x:xf numFmtId="0" fontId="1" fillId="84" borderId="0" xfId="0" applyNumberFormat="1" applyFont="1" applyFill="1" applyBorder="1"/>
    <x:xf numFmtId="0" fontId="1" fillId="84" borderId="0" xfId="0" applyNumberFormat="1" applyFont="1" applyFill="1" applyBorder="1" applyAlignment="1">
      <x:alignment wrapText="1"/>
    </x:xf>
    <x:xf numFmtId="0" fontId="0" fillId="85" borderId="0" xfId="0" applyNumberFormat="1" applyFont="1" applyFill="1" applyBorder="1"/>
    <x:xf numFmtId="0" fontId="1" fillId="85" borderId="0" xfId="0" applyNumberFormat="1" applyFont="1" applyFill="1" applyBorder="1"/>
    <x:xf numFmtId="0" fontId="1" fillId="85" borderId="0" xfId="0" applyNumberFormat="1" applyFont="1" applyFill="1" applyBorder="1" applyAlignment="1">
      <x:alignment wrapText="1"/>
    </x:xf>
    <x:xf numFmtId="0" fontId="0" fillId="86" borderId="0" xfId="0" applyNumberFormat="1" applyFont="1" applyFill="1" applyBorder="1"/>
    <x:xf numFmtId="0" fontId="1" fillId="86" borderId="0" xfId="0" applyNumberFormat="1" applyFont="1" applyFill="1" applyBorder="1"/>
    <x:xf numFmtId="0" fontId="1" fillId="86" borderId="0" xfId="0" applyNumberFormat="1" applyFont="1" applyFill="1" applyBorder="1" applyAlignment="1">
      <x:alignment wrapText="1"/>
    </x:xf>
    <x:xf numFmtId="0" fontId="0" fillId="87" borderId="0" xfId="0" applyNumberFormat="1" applyFont="1" applyFill="1" applyBorder="1"/>
    <x:xf numFmtId="0" fontId="1" fillId="87" borderId="0" xfId="0" applyNumberFormat="1" applyFont="1" applyFill="1" applyBorder="1"/>
    <x:xf numFmtId="0" fontId="3" fillId="81" borderId="0" xfId="0" applyNumberFormat="1" applyFont="1" applyFill="1" applyBorder="1" applyAlignment="1">
      <x:alignment wrapText="1"/>
    </x:xf>
    <x:xf numFmtId="0" fontId="0" fillId="88" borderId="0" xfId="0" applyNumberFormat="1" applyFont="1" applyFill="1" applyBorder="1"/>
    <x:xf numFmtId="0" fontId="4" fillId="88" borderId="0" xfId="0" applyNumberFormat="1" applyFont="1" applyFill="1" applyBorder="1"/>
    <x:xf numFmtId="0" fontId="4" fillId="88" borderId="0" xfId="0" applyNumberFormat="1" applyFont="1" applyFill="1" applyBorder="1" applyAlignment="1">
      <x:alignment horizontal="center"/>
    </x:xf>
    <x:xf numFmtId="0" fontId="0" fillId="89" borderId="0" xfId="0" applyNumberFormat="1" applyFont="1" applyFill="1" applyBorder="1"/>
    <x:xf numFmtId="0" fontId="0" fillId="89" borderId="0" xfId="0" applyNumberFormat="1" applyFont="1" applyFill="1" applyBorder="1" applyAlignment="1">
      <x:alignment wrapText="1"/>
    </x:xf>
    <x:xf numFmtId="0" fontId="0" fillId="90" borderId="0" xfId="0" applyNumberFormat="1" applyFont="1" applyFill="1" applyBorder="1"/>
    <x:xf numFmtId="0" fontId="1" fillId="90" borderId="0" xfId="0" applyNumberFormat="1" applyFont="1" applyFill="1" applyBorder="1"/>
    <x:xf numFmtId="0" fontId="1" fillId="90" borderId="0" xfId="0" applyNumberFormat="1" applyFont="1" applyFill="1" applyBorder="1" applyAlignment="1">
      <x:alignment wrapText="1"/>
    </x:xf>
    <x:xf numFmtId="0" fontId="0" fillId="91" borderId="0" xfId="0" applyNumberFormat="1" applyFont="1" applyFill="1" applyBorder="1"/>
    <x:xf numFmtId="0" fontId="1" fillId="91" borderId="0" xfId="0" applyNumberFormat="1" applyFont="1" applyFill="1" applyBorder="1"/>
    <x:xf numFmtId="0" fontId="1" fillId="91" borderId="0" xfId="0" applyNumberFormat="1" applyFont="1" applyFill="1" applyBorder="1" applyAlignment="1">
      <x:alignment wrapText="1"/>
    </x:xf>
    <x:xf numFmtId="0" fontId="0" fillId="92" borderId="0" xfId="0" applyNumberFormat="1" applyFont="1" applyFill="1" applyBorder="1"/>
    <x:xf numFmtId="0" fontId="1" fillId="92" borderId="0" xfId="0" applyNumberFormat="1" applyFont="1" applyFill="1" applyBorder="1"/>
    <x:xf numFmtId="0" fontId="1" fillId="92" borderId="0" xfId="0" applyNumberFormat="1" applyFont="1" applyFill="1" applyBorder="1" applyAlignment="1">
      <x:alignment wrapText="1"/>
    </x:xf>
    <x:xf numFmtId="0" fontId="0" fillId="93" borderId="0" xfId="0" applyNumberFormat="1" applyFont="1" applyFill="1" applyBorder="1"/>
    <x:xf numFmtId="0" fontId="1" fillId="93" borderId="0" xfId="0" applyNumberFormat="1" applyFont="1" applyFill="1" applyBorder="1"/>
    <x:xf numFmtId="0" fontId="1" fillId="93" borderId="0" xfId="0" applyNumberFormat="1" applyFont="1" applyFill="1" applyBorder="1" applyAlignment="1">
      <x:alignment wrapText="1"/>
    </x:xf>
    <x:xf numFmtId="0" fontId="0" fillId="94" borderId="0" xfId="0" applyNumberFormat="1" applyFont="1" applyFill="1" applyBorder="1"/>
    <x:xf numFmtId="0" fontId="1" fillId="94" borderId="0" xfId="0" applyNumberFormat="1" applyFont="1" applyFill="1" applyBorder="1"/>
    <x:xf numFmtId="0" fontId="1" fillId="94" borderId="0" xfId="0" applyNumberFormat="1" applyFont="1" applyFill="1" applyBorder="1" applyAlignment="1">
      <x:alignment wrapText="1"/>
    </x:xf>
    <x:xf numFmtId="0" fontId="3" fillId="89" borderId="0" xfId="0" applyNumberFormat="1" applyFont="1" applyFill="1" applyBorder="1" applyAlignment="1">
      <x:alignment wrapText="1"/>
    </x:xf>
    <x:xf numFmtId="0" fontId="0" fillId="95" borderId="0" xfId="0" applyNumberFormat="1" applyFont="1" applyFill="1" applyBorder="1"/>
    <x:xf numFmtId="0" fontId="1" fillId="95" borderId="0" xfId="0" applyNumberFormat="1" applyFont="1" applyFill="1" applyBorder="1"/>
    <x:xf numFmtId="0" fontId="1" fillId="95" borderId="0" xfId="0" applyNumberFormat="1" applyFont="1" applyFill="1" applyBorder="1" applyAlignment="1">
      <x:alignment wrapText="1"/>
    </x:xf>
    <x:xf numFmtId="0" fontId="0" fillId="96" borderId="0" xfId="0" applyNumberFormat="1" applyFont="1" applyFill="1" applyBorder="1" applyAlignment="1">
      <x:alignment wrapText="1"/>
    </x:xf>
    <x:xf numFmtId="0" fontId="3" fillId="96" borderId="0" xfId="0" applyNumberFormat="1" applyFont="1" applyFill="1" applyBorder="1" applyAlignment="1">
      <x:alignment wrapText="1"/>
    </x:xf>
    <x:xf numFmtId="0" fontId="0" fillId="97" borderId="0" xfId="0" applyNumberFormat="1" applyFont="1" applyFill="1" applyBorder="1"/>
    <x:xf numFmtId="0" fontId="4" fillId="97" borderId="0" xfId="0" applyNumberFormat="1" applyFont="1" applyFill="1" applyBorder="1"/>
    <x:xf numFmtId="0" fontId="4" fillId="97" borderId="0" xfId="0" applyNumberFormat="1" applyFont="1" applyFill="1" applyBorder="1" applyAlignment="1">
      <x:alignment horizontal="center"/>
    </x:xf>
    <x:xf numFmtId="0" fontId="0" fillId="98" borderId="0" xfId="0" applyNumberFormat="1" applyFont="1" applyFill="1" applyBorder="1"/>
    <x:xf numFmtId="0" fontId="0" fillId="98" borderId="0" xfId="0" applyNumberFormat="1" applyFont="1" applyFill="1" applyBorder="1" applyAlignment="1">
      <x:alignment wrapText="1"/>
    </x:xf>
    <x:xf numFmtId="0" fontId="0" fillId="99" borderId="0" xfId="0" applyNumberFormat="1" applyFont="1" applyFill="1" applyBorder="1"/>
    <x:xf numFmtId="0" fontId="1" fillId="99" borderId="0" xfId="0" applyNumberFormat="1" applyFont="1" applyFill="1" applyBorder="1"/>
    <x:xf numFmtId="0" fontId="1" fillId="99" borderId="0" xfId="0" applyNumberFormat="1" applyFont="1" applyFill="1" applyBorder="1" applyAlignment="1">
      <x:alignment wrapText="1"/>
    </x:xf>
    <x:xf numFmtId="0" fontId="0" fillId="100" borderId="0" xfId="0" applyNumberFormat="1" applyFont="1" applyFill="1" applyBorder="1"/>
    <x:xf numFmtId="0" fontId="1" fillId="100" borderId="0" xfId="0" applyNumberFormat="1" applyFont="1" applyFill="1" applyBorder="1"/>
    <x:xf numFmtId="0" fontId="1" fillId="100" borderId="0" xfId="0" applyNumberFormat="1" applyFont="1" applyFill="1" applyBorder="1" applyAlignment="1">
      <x:alignment wrapText="1"/>
    </x:xf>
    <x:xf numFmtId="0" fontId="0" fillId="101" borderId="0" xfId="0" applyNumberFormat="1" applyFont="1" applyFill="1" applyBorder="1"/>
    <x:xf numFmtId="0" fontId="1" fillId="101" borderId="0" xfId="0" applyNumberFormat="1" applyFont="1" applyFill="1" applyBorder="1"/>
    <x:xf numFmtId="0" fontId="1" fillId="101" borderId="0" xfId="0" applyNumberFormat="1" applyFont="1" applyFill="1" applyBorder="1" applyAlignment="1">
      <x:alignment wrapText="1"/>
    </x:xf>
    <x:xf numFmtId="0" fontId="0" fillId="102" borderId="0" xfId="0" applyNumberFormat="1" applyFont="1" applyFill="1" applyBorder="1"/>
    <x:xf numFmtId="0" fontId="1" fillId="102" borderId="0" xfId="0" applyNumberFormat="1" applyFont="1" applyFill="1" applyBorder="1"/>
    <x:xf numFmtId="0" fontId="1" fillId="102" borderId="0" xfId="0" applyNumberFormat="1" applyFont="1" applyFill="1" applyBorder="1" applyAlignment="1">
      <x:alignment wrapText="1"/>
    </x:xf>
    <x:xf numFmtId="0" fontId="3" fillId="9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2010f1b40e465d" /><Relationship Type="http://schemas.openxmlformats.org/officeDocument/2006/relationships/theme" Target="/xl/theme/theme1.xml" Id="R307321e802fb42f9" /><Relationship Type="http://schemas.openxmlformats.org/officeDocument/2006/relationships/sharedStrings" Target="/xl/sharedStrings.xml" Id="Re3a7bb04b5b94524" /><Relationship Type="http://schemas.openxmlformats.org/officeDocument/2006/relationships/worksheet" Target="/xl/worksheets/sheet1.xml" Id="Rf1c35d372e05478a" /><Relationship Type="http://schemas.openxmlformats.org/officeDocument/2006/relationships/worksheet" Target="/xl/worksheets/sheet2.xml" Id="R7ce41eea85ea454b" /><Relationship Type="http://schemas.openxmlformats.org/officeDocument/2006/relationships/worksheet" Target="/xl/worksheets/sheet3.xml" Id="Rbc33a3ea8b84400b" /><Relationship Type="http://schemas.openxmlformats.org/officeDocument/2006/relationships/worksheet" Target="/xl/worksheets/sheet4.xml" Id="R5bec7aa141f243ba" /><Relationship Type="http://schemas.openxmlformats.org/officeDocument/2006/relationships/worksheet" Target="/xl/worksheets/sheet5.xml" Id="Rcc46374e23e346a5" /><Relationship Type="http://schemas.openxmlformats.org/officeDocument/2006/relationships/worksheet" Target="/xl/worksheets/sheet6.xml" Id="Rb9f71c6cda2e4a0b" /><Relationship Type="http://schemas.openxmlformats.org/officeDocument/2006/relationships/worksheet" Target="/xl/worksheets/sheet7.xml" Id="R04fd418256aa41df" /><Relationship Type="http://schemas.openxmlformats.org/officeDocument/2006/relationships/worksheet" Target="/xl/worksheets/sheet8.xml" Id="R81b2c663b8064663" /><Relationship Type="http://schemas.openxmlformats.org/officeDocument/2006/relationships/worksheet" Target="/xl/worksheets/sheet9.xml" Id="R76228b5887ef417e" /><Relationship Type="http://schemas.openxmlformats.org/officeDocument/2006/relationships/worksheet" Target="/xl/worksheets/sheet10.xml" Id="R4a90c457ee764650" /><Relationship Type="http://schemas.openxmlformats.org/officeDocument/2006/relationships/worksheet" Target="/xl/worksheets/sheet11.xml" Id="R50b76950b71846de" /><Relationship Type="http://schemas.openxmlformats.org/officeDocument/2006/relationships/worksheet" Target="/xl/worksheets/sheet12.xml" Id="R9f64b74e52bb4cbc" /><Relationship Type="http://schemas.openxmlformats.org/officeDocument/2006/relationships/worksheet" Target="/xl/worksheets/sheet13.xml" Id="R33c690de93a14122" /><Relationship Type="http://schemas.openxmlformats.org/officeDocument/2006/relationships/worksheet" Target="/xl/worksheets/sheet14.xml" Id="R359ee3a9168a449b" /><Relationship Type="http://schemas.openxmlformats.org/officeDocument/2006/relationships/worksheet" Target="/xl/worksheets/sheet15.xml" Id="Rf284c17581e64a7d" /><Relationship Type="http://schemas.openxmlformats.org/officeDocument/2006/relationships/worksheet" Target="/xl/worksheets/sheet16.xml" Id="R8fe7d394a2d54541" /><Relationship Type="http://schemas.openxmlformats.org/officeDocument/2006/relationships/worksheet" Target="/xl/worksheets/sheet17.xml" Id="R7b862a664b88451b" /><Relationship Type="http://schemas.openxmlformats.org/officeDocument/2006/relationships/worksheet" Target="/xl/worksheets/sheet18.xml" Id="R6886b6bf218d4c9b" /><Relationship Type="http://schemas.openxmlformats.org/officeDocument/2006/relationships/worksheet" Target="/xl/worksheets/sheet19.xml" Id="R02afc498e5ff45b8" /><Relationship Type="http://schemas.openxmlformats.org/officeDocument/2006/relationships/worksheet" Target="/xl/worksheets/sheet20.xml" Id="R145f152d07434201" /><Relationship Type="http://schemas.openxmlformats.org/officeDocument/2006/relationships/worksheet" Target="/xl/worksheets/sheet21.xml" Id="R5654f6766d5f482d" /><Relationship Type="http://schemas.openxmlformats.org/officeDocument/2006/relationships/worksheet" Target="/xl/worksheets/sheet22.xml" Id="R33d04a6142264944" /><Relationship Type="http://schemas.openxmlformats.org/officeDocument/2006/relationships/worksheet" Target="/xl/worksheets/sheet23.xml" Id="R5267e701fde845ab" /><Relationship Type="http://schemas.openxmlformats.org/officeDocument/2006/relationships/worksheet" Target="/xl/worksheets/sheet24.xml" Id="R1d9d6d3e59144b49" /><Relationship Type="http://schemas.openxmlformats.org/officeDocument/2006/relationships/worksheet" Target="/xl/worksheets/sheet25.xml" Id="R4eef341e104e4cde" /><Relationship Type="http://schemas.openxmlformats.org/officeDocument/2006/relationships/worksheet" Target="/xl/worksheets/sheet26.xml" Id="Re4dbbfd7af454e13" /></Relationships>
</file>

<file path=xl/drawings/_rels/drawing1.xml.rels>&#65279;<?xml version="1.0" encoding="utf-8"?><Relationships xmlns="http://schemas.openxmlformats.org/package/2006/relationships"><Relationship Type="http://schemas.openxmlformats.org/officeDocument/2006/relationships/chart" Target="/xl/drawings/charts/chart1.xml" Id="Ra62b0762556740bd" /></Relationships>
</file>

<file path=xl/drawings/_rels/drawing2.xml.rels>&#65279;<?xml version="1.0" encoding="utf-8"?><Relationships xmlns="http://schemas.openxmlformats.org/package/2006/relationships"><Relationship Type="http://schemas.openxmlformats.org/officeDocument/2006/relationships/chart" Target="/xl/drawings/charts/chart2.xml" Id="R15fff1b4331d426e" /><Relationship Type="http://schemas.openxmlformats.org/officeDocument/2006/relationships/chart" Target="/xl/drawings/charts/chart3.xml" Id="R435e4358a7954767" /></Relationships>
</file>

<file path=xl/drawings/_rels/drawing3.xml.rels>&#65279;<?xml version="1.0" encoding="utf-8"?><Relationships xmlns="http://schemas.openxmlformats.org/package/2006/relationships"><Relationship Type="http://schemas.openxmlformats.org/officeDocument/2006/relationships/chart" Target="/xl/drawings/charts/chart4.xml" Id="R9d40a51ca26c4896" /></Relationships>
</file>

<file path=xl/drawings/_rels/drawing4.xml.rels>&#65279;<?xml version="1.0" encoding="utf-8"?><Relationships xmlns="http://schemas.openxmlformats.org/package/2006/relationships"><Relationship Type="http://schemas.openxmlformats.org/officeDocument/2006/relationships/chart" Target="/xl/drawings/charts/chart5.xml" Id="R1a2156668af04b59" /></Relationships>
</file>

<file path=xl/drawings/_rels/drawing5.xml.rels>&#65279;<?xml version="1.0" encoding="utf-8"?><Relationships xmlns="http://schemas.openxmlformats.org/package/2006/relationships"><Relationship Type="http://schemas.openxmlformats.org/officeDocument/2006/relationships/chart" Target="/xl/drawings/charts/chart6.xml" Id="R4c3a204a2baa429f" /></Relationships>
</file>

<file path=xl/drawings/_rels/drawing6.xml.rels>&#65279;<?xml version="1.0" encoding="utf-8"?><Relationships xmlns="http://schemas.openxmlformats.org/package/2006/relationships"><Relationship Type="http://schemas.openxmlformats.org/officeDocument/2006/relationships/chart" Target="/xl/drawings/charts/chart7.xml" Id="R48f0c19893474b1c" /></Relationships>
</file>

<file path=xl/drawings/_rels/drawing7.xml.rels>&#65279;<?xml version="1.0" encoding="utf-8"?><Relationships xmlns="http://schemas.openxmlformats.org/package/2006/relationships"><Relationship Type="http://schemas.openxmlformats.org/officeDocument/2006/relationships/chart" Target="/xl/drawings/charts/chart8.xml" Id="R9ff10d6f65dc4d6d" /></Relationships>
</file>

<file path=xl/drawings/_rels/drawing8.xml.rels>&#65279;<?xml version="1.0" encoding="utf-8"?><Relationships xmlns="http://schemas.openxmlformats.org/package/2006/relationships"><Relationship Type="http://schemas.openxmlformats.org/officeDocument/2006/relationships/chart" Target="/xl/drawings/charts/chart9.xml" Id="R4736606e6c5f4b5d"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Percent change</c:v>
          </c:tx>
          <c:cat>
            <c:strRef>
              <c:f>'Endpoint Snapshot'!$A$2:$A$11</c:f>
              <c:strCache>
                <c:ptCount val="0"/>
              </c:strCache>
            </c:strRef>
          </c:cat>
          <c:val>
            <c:numRef>
              <c:f>'Endpoint Snapshot'!$F$2:$F$11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varyColors val="0"/>
        <c:ser>
          <c:idx val="0"/>
          <c:order val="0"/>
          <c:tx>
            <c:v>MSRP</c:v>
          </c:tx>
          <c:marker>
            <c:symbol val="none"/>
          </c:marker>
          <c:cat>
            <c:strRef>
              <c:f>'Normalized Comparison'!$L$2:$L$93</c:f>
              <c:strCache>
                <c:ptCount val="0"/>
              </c:strCache>
            </c:strRef>
          </c:cat>
          <c:val>
            <c:numRef>
              <c:f>'Normalized Comparison'!$B$2:$B$93</c:f>
              <c:numCache>
                <c:formatCode>0.0</c:formatCode>
                <c:ptCount val="0"/>
              </c:numCache>
            </c:numRef>
          </c:val>
        </c:ser>
        <c:ser>
          <c:idx val="1"/>
          <c:order val="1"/>
          <c:tx>
            <c:v>Thermoplastic Resin</c:v>
          </c:tx>
          <c:marker>
            <c:symbol val="none"/>
          </c:marker>
          <c:cat>
            <c:strRef>
              <c:f>'Normalized Comparison'!$L$2:$L$93</c:f>
              <c:strCache>
                <c:ptCount val="0"/>
              </c:strCache>
            </c:strRef>
          </c:cat>
          <c:val>
            <c:numRef>
              <c:f>'Normalized Comparison'!$C$2:$C$93</c:f>
              <c:numCache>
                <c:formatCode>0.0</c:formatCode>
                <c:ptCount val="0"/>
              </c:numCache>
            </c:numRef>
          </c:val>
        </c:ser>
        <c:ser>
          <c:idx val="2"/>
          <c:order val="2"/>
          <c:tx>
            <c:v>Tooling / Dies</c:v>
          </c:tx>
          <c:marker>
            <c:symbol val="none"/>
          </c:marker>
          <c:cat>
            <c:strRef>
              <c:f>'Normalized Comparison'!$L$2:$L$93</c:f>
              <c:strCache>
                <c:ptCount val="0"/>
              </c:strCache>
            </c:strRef>
          </c:cat>
          <c:val>
            <c:numRef>
              <c:f>'Normalized Comparison'!$D$2:$D$93</c:f>
              <c:numCache>
                <c:formatCode>0.0</c:formatCode>
                <c:ptCount val="0"/>
              </c:numCache>
            </c:numRef>
          </c:val>
        </c:ser>
        <c:ser>
          <c:idx val="3"/>
          <c:order val="3"/>
          <c:tx>
            <c:v>Paints</c:v>
          </c:tx>
          <c:marker>
            <c:symbol val="none"/>
          </c:marker>
          <c:cat>
            <c:strRef>
              <c:f>'Normalized Comparison'!$L$2:$L$93</c:f>
              <c:strCache>
                <c:ptCount val="0"/>
              </c:strCache>
            </c:strRef>
          </c:cat>
          <c:val>
            <c:numRef>
              <c:f>'Normalized Comparison'!$E$2:$E$93</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ineChart>
        <c:grouping val="standard"/>
        <c:varyColors val="0"/>
        <c:ser>
          <c:idx val="0"/>
          <c:order val="0"/>
          <c:tx>
            <c:v>Printing Ink</c:v>
          </c:tx>
          <c:marker>
            <c:symbol val="none"/>
          </c:marker>
          <c:cat>
            <c:strRef>
              <c:f>'Normalized Comparison'!$L$2:$L$93</c:f>
              <c:strCache>
                <c:ptCount val="0"/>
              </c:strCache>
            </c:strRef>
          </c:cat>
          <c:val>
            <c:numRef>
              <c:f>'Normalized Comparison'!$F$2:$F$93</c:f>
              <c:numCache>
                <c:formatCode>0.0</c:formatCode>
                <c:ptCount val="0"/>
              </c:numCache>
            </c:numRef>
          </c:val>
        </c:ser>
        <c:ser>
          <c:idx val="1"/>
          <c:order val="1"/>
          <c:tx>
            <c:v>Adhesives</c:v>
          </c:tx>
          <c:marker>
            <c:symbol val="none"/>
          </c:marker>
          <c:cat>
            <c:strRef>
              <c:f>'Normalized Comparison'!$L$2:$L$93</c:f>
              <c:strCache>
                <c:ptCount val="0"/>
              </c:strCache>
            </c:strRef>
          </c:cat>
          <c:val>
            <c:numRef>
              <c:f>'Normalized Comparison'!$G$2:$G$93</c:f>
              <c:numCache>
                <c:formatCode>0.0</c:formatCode>
                <c:ptCount val="0"/>
              </c:numCache>
            </c:numRef>
          </c:val>
        </c:ser>
        <c:ser>
          <c:idx val="2"/>
          <c:order val="2"/>
          <c:tx>
            <c:v>Paperboard</c:v>
          </c:tx>
          <c:marker>
            <c:symbol val="none"/>
          </c:marker>
          <c:cat>
            <c:strRef>
              <c:f>'Normalized Comparison'!$L$2:$L$93</c:f>
              <c:strCache>
                <c:ptCount val="0"/>
              </c:strCache>
            </c:strRef>
          </c:cat>
          <c:val>
            <c:numRef>
              <c:f>'Normalized Comparison'!$H$2:$H$93</c:f>
              <c:numCache>
                <c:formatCode>0.0</c:formatCode>
                <c:ptCount val="0"/>
              </c:numCache>
            </c:numRef>
          </c:val>
        </c:ser>
        <c:ser>
          <c:idx val="3"/>
          <c:order val="3"/>
          <c:tx>
            <c:v>Corrugated Cartons</c:v>
          </c:tx>
          <c:marker>
            <c:symbol val="none"/>
          </c:marker>
          <c:cat>
            <c:strRef>
              <c:f>'Normalized Comparison'!$L$2:$L$93</c:f>
              <c:strCache>
                <c:ptCount val="0"/>
              </c:strCache>
            </c:strRef>
          </c:cat>
          <c:val>
            <c:numRef>
              <c:f>'Normalized Comparison'!$I$2:$I$93</c:f>
              <c:numCache>
                <c:formatCode>0.0</c:formatCode>
                <c:ptCount val="0"/>
              </c:numCache>
            </c:numRef>
          </c:val>
        </c:ser>
        <c:ser>
          <c:idx val="4"/>
          <c:order val="4"/>
          <c:tx>
            <c:v>USD/CNY</c:v>
          </c:tx>
          <c:marker>
            <c:symbol val="none"/>
          </c:marker>
          <c:cat>
            <c:strRef>
              <c:f>'Normalized Comparison'!$L$2:$L$93</c:f>
              <c:strCache>
                <c:ptCount val="0"/>
              </c:strCache>
            </c:strRef>
          </c:cat>
          <c:val>
            <c:numRef>
              <c:f>'Normalized Comparison'!$J$2:$J$93</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China Private Manufacturing Wage Proxy (2019 = 100)</a:t>
            </a:r>
          </a:p>
        </c:rich>
      </c:tx>
    </c:title>
    <c:plotArea>
      <c:lineChart>
        <c:grouping val="standard"/>
        <c:varyColors val="0"/>
        <c:ser>
          <c:idx val="0"/>
          <c:order val="0"/>
          <c:tx>
            <c:v>China Urban Private Manufacturing Wage (yuan)</c:v>
          </c:tx>
          <c:marker>
            <c:symbol val="none"/>
          </c:marker>
          <c:cat>
            <c:strRef>
              <c:f>'Annual Labor'!$A$2:$A$8</c:f>
              <c:strCache>
                <c:ptCount val="0"/>
              </c:strCache>
            </c:strRef>
          </c:cat>
          <c:val>
            <c:numRef>
              <c:f>'Annual Labor'!$B$2:$B$8</c:f>
              <c:numCache>
                <c:formatCode>#,##0</c:formatCode>
                <c:ptCount val="0"/>
              </c:numCache>
            </c:numRef>
          </c:val>
        </c:ser>
        <c:ser>
          <c:idx val="1"/>
          <c:order val="1"/>
          <c:tx>
            <c:v>2019=100</c:v>
          </c:tx>
          <c:marker>
            <c:symbol val="none"/>
          </c:marker>
          <c:cat>
            <c:strRef>
              <c:f>'Annual Labor'!$A$2:$A$8</c:f>
              <c:strCache>
                <c:ptCount val="0"/>
              </c:strCache>
            </c:strRef>
          </c:cat>
          <c:val>
            <c:numRef>
              <c:f>'Annual Labor'!$C$2:$C$8</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plotArea>
      <c:lineChart>
        <c:grouping val="standard"/>
        <c:varyColors val="0"/>
        <c:ser>
          <c:idx val="0"/>
          <c:order val="0"/>
          <c:tx>
            <c:v>China</c:v>
          </c:tx>
          <c:marker>
            <c:symbol val="none"/>
          </c:marker>
          <c:cat>
            <c:strRef>
              <c:f>'Multinational Labor'!$A$2:$A$8</c:f>
              <c:strCache>
                <c:ptCount val="0"/>
              </c:strCache>
            </c:strRef>
          </c:cat>
          <c:val>
            <c:numRef>
              <c:f>'Multinational Labor'!$C$2:$C$8</c:f>
              <c:numCache>
                <c:formatCode>0.0</c:formatCode>
                <c:ptCount val="0"/>
              </c:numCache>
            </c:numRef>
          </c:val>
        </c:ser>
        <c:ser>
          <c:idx val="1"/>
          <c:order val="1"/>
          <c:tx>
            <c:v>Vietnam</c:v>
          </c:tx>
          <c:marker>
            <c:symbol val="none"/>
          </c:marker>
          <c:cat>
            <c:strRef>
              <c:f>'Multinational Labor'!$A$2:$A$8</c:f>
              <c:strCache>
                <c:ptCount val="0"/>
              </c:strCache>
            </c:strRef>
          </c:cat>
          <c:val>
            <c:numRef>
              <c:f>'Multinational Labor'!$E$2:$E$8</c:f>
              <c:numCache>
                <c:formatCode>0.0</c:formatCode>
                <c:ptCount val="0"/>
              </c:numCache>
            </c:numRef>
          </c:val>
        </c:ser>
        <c:ser>
          <c:idx val="2"/>
          <c:order val="2"/>
          <c:tx>
            <c:v>India</c:v>
          </c:tx>
          <c:marker>
            <c:symbol val="none"/>
          </c:marker>
          <c:cat>
            <c:strRef>
              <c:f>'Multinational Labor'!$A$2:$A$8</c:f>
              <c:strCache>
                <c:ptCount val="0"/>
              </c:strCache>
            </c:strRef>
          </c:cat>
          <c:val>
            <c:numRef>
              <c:f>'Multinational Labor'!$I$2:$I$8</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ineChart>
        <c:grouping val="standard"/>
        <c:varyColors val="0"/>
        <c:ser>
          <c:idx val="0"/>
          <c:order val="0"/>
          <c:tx>
            <c:v>COGS % Revenue</c:v>
          </c:tx>
          <c:marker>
            <c:symbol val="none"/>
          </c:marker>
          <c:cat>
            <c:strRef>
              <c:f>'Hasbro COGS History'!$A$5:$A$11</c:f>
              <c:strCache>
                <c:ptCount val="0"/>
              </c:strCache>
            </c:strRef>
          </c:cat>
          <c:val>
            <c:numRef>
              <c:f>'Hasbro COGS History'!$D$5:$D$11</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plotArea>
      <c:lineChart>
        <c:grouping val="standard"/>
        <c:varyColors val="0"/>
        <c:ser>
          <c:idx val="0"/>
          <c:order val="0"/>
          <c:tx>
            <c:v>Deep Sea Freight PPI</c:v>
          </c:tx>
          <c:marker>
            <c:symbol val="none"/>
          </c:marker>
          <c:cat>
            <c:strRef>
              <c:f>'Normalized Comparison'!$L$2:$L$93</c:f>
              <c:strCache>
                <c:ptCount val="0"/>
              </c:strCache>
            </c:strRef>
          </c:cat>
          <c:val>
            <c:numRef>
              <c:f>'Normalized Comparison'!$M$2:$M$93</c:f>
              <c:numCache>
                <c:formatCode>0.0</c:formatCode>
                <c:ptCount val="0"/>
              </c:numCache>
            </c:numRef>
          </c:val>
        </c:ser>
        <c:ser>
          <c:idx val="1"/>
          <c:order val="1"/>
          <c:tx>
            <c:v>Marvel Legends MSRP</c:v>
          </c:tx>
          <c:marker>
            <c:symbol val="none"/>
          </c:marker>
          <c:cat>
            <c:strRef>
              <c:f>'Normalized Comparison'!$L$2:$L$93</c:f>
              <c:strCache>
                <c:ptCount val="0"/>
              </c:strCache>
            </c:strRef>
          </c:cat>
          <c:val>
            <c:numRef>
              <c:f>'Normalized Comparison'!$B$2:$B$93</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U.S. Action Figures &amp; Accessories Retail Dollar Sales</a:t>
            </a:r>
          </a:p>
        </c:rich>
      </c:tx>
    </c:title>
    <c:plotArea>
      <c:lineChart>
        <c:grouping val="standard"/>
        <c:varyColors val="0"/>
        <c:ser>
          <c:idx val="0"/>
          <c:order val="0"/>
          <c:tx>
            <c:v>U.S. Action Figures &amp; Accessories Sales ($bn)</c:v>
          </c:tx>
          <c:marker>
            <c:symbol val="none"/>
          </c:marker>
          <c:cat>
            <c:strRef>
              <c:f>'Demand Analysis'!$A$5:$A$11</c:f>
              <c:strCache>
                <c:ptCount val="0"/>
              </c:strCache>
            </c:strRef>
          </c:cat>
          <c:val>
            <c:numRef>
              <c:f>'Demand Analysis'!$B$5:$B$11</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Packaging Cost Composite vs. Marvel Legends MSRP</a:t>
            </a:r>
          </a:p>
        </c:rich>
      </c:tx>
    </c:title>
    <c:plotArea>
      <c:lineChart>
        <c:grouping val="standard"/>
        <c:varyColors val="0"/>
        <c:ser>
          <c:idx val="0"/>
          <c:order val="0"/>
          <c:tx>
            <c:v>MSRP (Jan 2019=100)</c:v>
          </c:tx>
          <c:marker>
            <c:symbol val="none"/>
          </c:marker>
          <c:cat>
            <c:strRef>
              <c:f>'Packaging Analysis'!$A$30:$A$121</c:f>
              <c:strCache>
                <c:ptCount val="0"/>
              </c:strCache>
            </c:strRef>
          </c:cat>
          <c:val>
            <c:numRef>
              <c:f>'Packaging Analysis'!$B$30:$B$121</c:f>
              <c:numCache>
                <c:formatCode>0.0</c:formatCode>
                <c:ptCount val="0"/>
              </c:numCache>
            </c:numRef>
          </c:val>
        </c:ser>
        <c:ser>
          <c:idx val="1"/>
          <c:order val="1"/>
          <c:tx>
            <c:v>Packaging Composite</c:v>
          </c:tx>
          <c:marker>
            <c:symbol val="none"/>
          </c:marker>
          <c:cat>
            <c:strRef>
              <c:f>'Packaging Analysis'!$A$30:$A$121</c:f>
              <c:strCache>
                <c:ptCount val="0"/>
              </c:strCache>
            </c:strRef>
          </c:cat>
          <c:val>
            <c:numRef>
              <c:f>'Packaging Analysis'!$C$30:$C$121</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2b0762556740bd"/>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xdr:row>
      <xdr:rowOff>0</xdr:rowOff>
    </xdr:from>
    <xdr:to>
      <xdr:col>23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fff1b4331d426e"/>
        </a:graphicData>
      </a:graphic>
    </xdr:graphicFrame>
    <xdr:clientData/>
  </xdr:twoCellAnchor>
  <xdr:twoCellAnchor>
    <xdr:from>
      <xdr:col>13</xdr:col>
      <xdr:colOff>0</xdr:colOff>
      <xdr:row>21</xdr:row>
      <xdr:rowOff>0</xdr:rowOff>
    </xdr:from>
    <xdr:to>
      <xdr:col>23</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5e4358a7954767"/>
        </a:graphicData>
      </a:graphic>
    </xdr:graphicFrame>
    <xdr:clientData/>
  </xdr:twoCellAnchor>
</xdr:wsDr>
</file>

<file path=xl/drawings/drawing3.xml><?xml version="1.0" encoding="utf-8"?>
<xdr:wsDr xmlns:xdr="http://schemas.openxmlformats.org/drawingml/2006/spreadsheetDrawing">
  <xdr:twoCellAnchor>
    <xdr:from>
      <xdr:col>11</xdr:col>
      <xdr:colOff>0</xdr:colOff>
      <xdr:row>1</xdr:row>
      <xdr:rowOff>0</xdr:rowOff>
    </xdr:from>
    <xdr:to>
      <xdr:col>19</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40a51ca26c4896"/>
        </a:graphicData>
      </a:graphic>
    </xdr:graphicFrame>
    <xdr:clientData/>
  </xdr:twoCellAnchor>
</xdr:wsDr>
</file>

<file path=xl/drawings/drawing4.xml><?xml version="1.0" encoding="utf-8"?>
<xdr:wsDr xmlns:xdr="http://schemas.openxmlformats.org/drawingml/2006/spreadsheetDrawing">
  <xdr:twoCellAnchor>
    <xdr:from>
      <xdr:col>14</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2156668af04b59"/>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12</xdr:row>
      <xdr:rowOff>0</xdr:rowOff>
    </xdr:from>
    <xdr:to>
      <xdr:col>12</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3a204a2baa429f"/>
        </a:graphicData>
      </a:graphic>
    </xdr:graphicFrame>
    <xdr:clientData/>
  </xdr:twoCellAnchor>
</xdr:wsDr>
</file>

<file path=xl/drawings/drawing6.xml><?xml version="1.0" encoding="utf-8"?>
<xdr:wsDr xmlns:xdr="http://schemas.openxmlformats.org/drawingml/2006/spreadsheetDrawing">
  <xdr:twoCellAnchor>
    <xdr:from>
      <xdr:col>5</xdr:col>
      <xdr:colOff>0</xdr:colOff>
      <xdr:row>10</xdr:row>
      <xdr:rowOff>0</xdr:rowOff>
    </xdr:from>
    <xdr:to>
      <xdr:col>10</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f0c19893474b1c"/>
        </a:graphicData>
      </a:graphic>
    </xdr:graphicFrame>
    <xdr:clientData/>
  </xdr:twoCellAnchor>
</xdr:wsDr>
</file>

<file path=xl/drawings/drawing7.xml><?xml version="1.0" encoding="utf-8"?>
<xdr:wsDr xmlns:xdr="http://schemas.openxmlformats.org/drawingml/2006/spreadsheetDrawing">
  <xdr:twoCellAnchor>
    <xdr:from>
      <xdr:col>7</xdr:col>
      <xdr:colOff>0</xdr:colOff>
      <xdr:row>9</xdr:row>
      <xdr:rowOff>0</xdr:rowOff>
    </xdr:from>
    <xdr:to>
      <xdr:col>12</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ff10d6f65dc4d6d"/>
        </a:graphicData>
      </a:graphic>
    </xdr:graphicFrame>
    <xdr:clientData/>
  </xdr:twoCellAnchor>
</xdr:wsDr>
</file>

<file path=xl/drawings/drawing8.xml><?xml version="1.0" encoding="utf-8"?>
<xdr:wsDr xmlns:xdr="http://schemas.openxmlformats.org/drawingml/2006/spreadsheetDrawing">
  <xdr:twoCellAnchor>
    <xdr:from>
      <xdr:col>5</xdr:col>
      <xdr:colOff>0</xdr:colOff>
      <xdr:row>17</xdr:row>
      <xdr:rowOff>0</xdr:rowOff>
    </xdr:from>
    <xdr:to>
      <xdr:col>10</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36606e6c5f4b5d"/>
        </a:graphicData>
      </a:graphic>
    </xdr:graphicFrame>
    <xdr:clientData/>
  </xdr:twoCellAnchor>
</xdr:wsDr>
</file>

<file path=xl/tables/table1.xml><?xml version="1.0" encoding="utf-8"?>
<x:table xmlns:x="http://schemas.openxmlformats.org/spreadsheetml/2006/main" id="6" name="SourceRegisterTable" displayName="SourceRegisterTable" ref="A1:J13" headerRowCount="1" totalsRowCount="0" totalsRowShown="0">
  <x:tableColumns count="10">
    <x:tableColumn id="1" name="Category"/>
    <x:tableColumn id="2" name="Variable / Measure"/>
    <x:tableColumn id="3" name="Series / ID"/>
    <x:tableColumn id="4" name="Source Organization"/>
    <x:tableColumn id="5" name="Frequency"/>
    <x:tableColumn id="6" name="Coverage Used"/>
    <x:tableColumn id="7" name="Use Class"/>
    <x:tableColumn id="8" name="Why It Belongs"/>
    <x:tableColumn id="9" name="Exact URL"/>
    <x:tableColumn id="10" name="Notes / Transformation"/>
  </x:tableColumns>
  <x:tableStyleInfo name="TableStyleMedium2" showFirstColumn="0" showLastColumn="0" showRowStripes="1" showColumnStripes="0"/>
</x:table>
</file>

<file path=xl/tables/table2.xml><?xml version="1.0" encoding="utf-8"?>
<x:table xmlns:x="http://schemas.openxmlformats.org/spreadsheetml/2006/main" id="1" name="EndpointSnapshotTable" displayName="EndpointSnapshotTable" ref="A1:G11" headerRowCount="1" totalsRowCount="0" totalsRowShown="0">
  <x:tableColumns count="7">
    <x:tableColumn id="1" name="Variable"/>
    <x:tableColumn id="2" name="Baseline Date"/>
    <x:tableColumn id="3" name="Baseline Value"/>
    <x:tableColumn id="4" name="Latest Date"/>
    <x:tableColumn id="5" name="Latest Value"/>
    <x:tableColumn id="6" name="% Change"/>
    <x:tableColumn id="7" name="Interpretation / Status"/>
  </x:tableColumns>
  <x:tableStyleInfo name="TableStyleMedium2" showFirstColumn="0" showLastColumn="0" showRowStripes="1" showColumnStripes="0"/>
</x:table>
</file>

<file path=xl/tables/table3.xml><?xml version="1.0" encoding="utf-8"?>
<x:table xmlns:x="http://schemas.openxmlformats.org/spreadsheetml/2006/main" id="2" name="MSRPTimelineTable" displayName="MSRPTimelineTable" ref="A1:G8" headerRowCount="1" totalsRowCount="0" totalsRowShown="0">
  <x:tableColumns count="7">
    <x:tableColumn id="1" name="Period / Evidence Point"/>
    <x:tableColumn id="2" name="Standard MSRP"/>
    <x:tableColumn id="3" name="Status"/>
    <x:tableColumn id="4" name="Evidence Type"/>
    <x:tableColumn id="5" name="Source"/>
    <x:tableColumn id="6" name="URL"/>
    <x:tableColumn id="7" name="Method Note"/>
  </x:tableColumns>
  <x:tableStyleInfo name="TableStyleMedium2" showFirstColumn="0" showLastColumn="0" showRowStripes="1" showColumnStripes="0"/>
</x:table>
</file>

<file path=xl/tables/table4.xml><?xml version="1.0" encoding="utf-8"?>
<x:table xmlns:x="http://schemas.openxmlformats.org/spreadsheetml/2006/main" id="3" name="ResearchRulesTable" displayName="ResearchRulesTable" ref="A1:C15" headerRowCount="1" totalsRowCount="0" totalsRowShown="0">
  <x:tableColumns count="3">
    <x:tableColumn id="1" name="Rule Area"/>
    <x:tableColumn id="2" name="Locked Rule"/>
    <x:tableColumn id="3" name="Reason"/>
  </x:tableColumns>
  <x:tableStyleInfo name="TableStyleMedium2" showFirstColumn="0" showLastColumn="0" showRowStripes="1" showColumnStripes="0"/>
</x:table>
</file>

<file path=xl/tables/table5.xml><?xml version="1.0" encoding="utf-8"?>
<x:table xmlns:x="http://schemas.openxmlformats.org/spreadsheetml/2006/main" id="4" name="MonthlyMasterTable" displayName="MonthlyMasterTable" ref="A1:M93" headerRowCount="1" totalsRowCount="0" totalsRowShown="0">
  <x:tableColumns count="13">
    <x:tableColumn id="1" name="Month"/>
    <x:tableColumn id="2" name="MSRP Tier (Provisional)"/>
    <x:tableColumn id="3" name="MSRP Status"/>
    <x:tableColumn id="4" name="Thermoplastic Resin"/>
    <x:tableColumn id="5" name="Tooling / Dies"/>
    <x:tableColumn id="6" name="Paints"/>
    <x:tableColumn id="7" name="Printing Ink"/>
    <x:tableColumn id="8" name="Adhesives"/>
    <x:tableColumn id="9" name="Paperboard Packaging"/>
    <x:tableColumn id="10" name="Corrugated Cartons"/>
    <x:tableColumn id="11" name="USD/CNY"/>
    <x:tableColumn id="12" name="Inbound Logistics Proxy"/>
    <x:tableColumn id="13" name="Notes"/>
  </x:tableColumns>
  <x:tableStyleInfo name="TableStyleMedium2" showFirstColumn="0" showLastColumn="0" showRowStripes="1" showColumnStripes="0"/>
</x:table>
</file>

<file path=xl/tables/table6.xml><?xml version="1.0" encoding="utf-8"?>
<x:table xmlns:x="http://schemas.openxmlformats.org/spreadsheetml/2006/main" id="5" name="DataStatusTable" displayName="DataStatusTable" ref="A1:D13" headerRowCount="1" totalsRowCount="0" totalsRowShown="0">
  <x:tableColumns count="4">
    <x:tableColumn id="1" name="Dataset / Series"/>
    <x:tableColumn id="2" name="Current Status"/>
    <x:tableColumn id="3" name="Next Action"/>
    <x:tableColumn id="4" name="Appendix Ready?"/>
  </x:tableColumns>
  <x:tableStyleInfo name="TableStyleMedium2" showFirstColumn="0" showLastColumn="0" showRowStripes="1" showColumnStripes="0"/>
</x:table>
</file>

<file path=xl/tables/table7.xml><?xml version="1.0" encoding="utf-8"?>
<x:table xmlns:x="http://schemas.openxmlformats.org/spreadsheetml/2006/main" id="7" name="MSRPTransitionEvidenceTable" displayName="MSRPTransitionEvidenceTable" ref="A1:H9" headerRowCount="1" totalsRowCount="0" totalsRowShown="0">
  <x:tableColumns count="8">
    <x:tableColumn id="1" name="Date"/>
    <x:tableColumn id="2" name="Evidence Point"/>
    <x:tableColumn id="3" name="Observed / Reported MSRP"/>
    <x:tableColumn id="4" name="Availability / Effective Timing"/>
    <x:tableColumn id="5" name="Evidence Weight"/>
    <x:tableColumn id="6" name="Source"/>
    <x:tableColumn id="7" name="URL"/>
    <x:tableColumn id="8" name="Methodological Use"/>
  </x:tableColumns>
  <x:tableStyleInfo name="TableStyleMedium2" showFirstColumn="0" showLastColumn="0" showRowStripes="1" showColumnStripes="0"/>
</x:table>
</file>

<file path=xl/tables/table8.xml><?xml version="1.0" encoding="utf-8"?>
<x:table xmlns:x="http://schemas.openxmlformats.org/spreadsheetml/2006/main" id="8" name="AnnualLaborTable" displayName="AnnualLaborTable" ref="A1:J8" headerRowCount="1" totalsRowCount="0" totalsRowShown="0">
  <x:tableColumns count="10">
    <x:tableColumn id="1" name="Year"/>
    <x:tableColumn id="2" name="China Urban Private Manufacturing Wage (yuan)"/>
    <x:tableColumn id="3" name="2019=100"/>
    <x:tableColumn id="4" name="YoY Change"/>
    <x:tableColumn id="5" name="Use Class"/>
    <x:tableColumn id="6" name="Why This Measure"/>
    <x:tableColumn id="7" name="Source Organization"/>
    <x:tableColumn id="8" name="Source Publication"/>
    <x:tableColumn id="9" name="Exact URL"/>
    <x:tableColumn id="10" name="Method Note"/>
  </x:tableColumns>
  <x:tableStyleInfo name="TableStyleMedium2" showFirstColumn="0" showLastColumn="0" showRowStripes="1" showColumnStripes="0"/>
</x:table>
</file>

<file path=xl/tables/table9.xml><?xml version="1.0" encoding="utf-8"?>
<x:table xmlns:x="http://schemas.openxmlformats.org/spreadsheetml/2006/main" id="9" name="ResearcherDecisionLogTable" displayName="ResearcherDecisionLogTable" ref="A1:F13" headerRowCount="1" totalsRowCount="0" totalsRowShown="0">
  <x:tableColumns count="6">
    <x:tableColumn id="1" name="Stage"/>
    <x:tableColumn id="2" name="User Insight / Workaround"/>
    <x:tableColumn id="3" name="Research Problem It Solved"/>
    <x:tableColumn id="4" name="Methodological Decision"/>
    <x:tableColumn id="5" name="Why It Strengthens the Study"/>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5eae6c4279446b" /></Relationships>
</file>

<file path=xl/worksheets/_rels/sheet3.xml.rels>&#65279;<?xml version="1.0" encoding="utf-8"?><Relationships xmlns="http://schemas.openxmlformats.org/package/2006/relationships"><Relationship Type="http://schemas.openxmlformats.org/officeDocument/2006/relationships/drawing" Target="/xl/drawings/drawing1.xml" Id="Rfeef7975a57e41ac" /><Relationship Type="http://schemas.openxmlformats.org/officeDocument/2006/relationships/table" Target="/xl/tables/table2.xml" Id="R60c178f9f8474c4b" /></Relationships>
</file>

<file path=xl/worksheets/_rels/sheet4.xml.rels>&#65279;<?xml version="1.0" encoding="utf-8"?><Relationships xmlns="http://schemas.openxmlformats.org/package/2006/relationships"><Relationship Type="http://schemas.openxmlformats.org/officeDocument/2006/relationships/table" Target="/xl/tables/table3.xml" Id="R151b48caa7d940ea" /></Relationships>
</file>

<file path=xl/worksheets/_rels/sheet5.xml.rels>&#65279;<?xml version="1.0" encoding="utf-8"?><Relationships xmlns="http://schemas.openxmlformats.org/package/2006/relationships"><Relationship Type="http://schemas.openxmlformats.org/officeDocument/2006/relationships/table" Target="/xl/tables/table4.xml" Id="R71f06c5a586646f3" /></Relationships>
</file>

<file path=xl/worksheets/_rels/sheet6.xml.rels>&#65279;<?xml version="1.0" encoding="utf-8"?><Relationships xmlns="http://schemas.openxmlformats.org/package/2006/relationships"><Relationship Type="http://schemas.openxmlformats.org/officeDocument/2006/relationships/table" Target="/xl/tables/table5.xml" Id="R213d39a00abc48c7" /></Relationships>
</file>

<file path=xl/worksheets/_rels/sheet7.xml.rels>&#65279;<?xml version="1.0" encoding="utf-8"?><Relationships xmlns="http://schemas.openxmlformats.org/package/2006/relationships"><Relationship Type="http://schemas.openxmlformats.org/officeDocument/2006/relationships/table" Target="/xl/tables/table6.xml" Id="R244756b78f2d4e7e" /></Relationships>
</file>

<file path=xl/worksheets/_rels/sheet8.xml.rels>&#65279;<?xml version="1.0" encoding="utf-8"?><Relationships xmlns="http://schemas.openxmlformats.org/package/2006/relationships"><Relationship Type="http://schemas.openxmlformats.org/officeDocument/2006/relationships/drawing" Target="/xl/drawings/drawing2.xml" Id="R8907e32040c9491a" /></Relationships>
</file>

<file path=xl/worksheets/_rels/sheet9.xml.rels>&#65279;<?xml version="1.0" encoding="utf-8"?><Relationships xmlns="http://schemas.openxmlformats.org/package/2006/relationships"><Relationship Type="http://schemas.openxmlformats.org/officeDocument/2006/relationships/table" Target="/xl/tables/table7.xml" Id="R7fe827b865404959" /></Relationships>
</file>

<file path=xl/worksheets/_rels/sheet10.xml.rels>&#65279;<?xml version="1.0" encoding="utf-8"?><Relationships xmlns="http://schemas.openxmlformats.org/package/2006/relationships"><Relationship Type="http://schemas.openxmlformats.org/officeDocument/2006/relationships/drawing" Target="/xl/drawings/drawing3.xml" Id="Reec99d5f0a4a4dfb" /><Relationship Type="http://schemas.openxmlformats.org/officeDocument/2006/relationships/table" Target="/xl/tables/table8.xml" Id="R37f50ba1358445b0" /></Relationships>
</file>

<file path=xl/worksheets/_rels/sheet11.xml.rels>&#65279;<?xml version="1.0" encoding="utf-8"?><Relationships xmlns="http://schemas.openxmlformats.org/package/2006/relationships"><Relationship Type="http://schemas.openxmlformats.org/officeDocument/2006/relationships/drawing" Target="/xl/drawings/drawing4.xml" Id="Rba120b2867f744ca" /></Relationships>
</file>

<file path=xl/worksheets/_rels/sheet12.xml.rels>&#65279;<?xml version="1.0" encoding="utf-8"?><Relationships xmlns="http://schemas.openxmlformats.org/package/2006/relationships"><Relationship Type="http://schemas.openxmlformats.org/officeDocument/2006/relationships/table" Target="/xl/tables/table9.xml" Id="Rce6d5b3f52844da0" /></Relationships>
</file>

<file path=xl/worksheets/_rels/sheet13.xml.rels>&#65279;<?xml version="1.0" encoding="utf-8"?><Relationships xmlns="http://schemas.openxmlformats.org/package/2006/relationships"><Relationship Type="http://schemas.openxmlformats.org/officeDocument/2006/relationships/drawing" Target="/xl/drawings/drawing5.xml" Id="R6cf7524154b547b7" /></Relationships>
</file>

<file path=xl/worksheets/_rels/sheet15.xml.rels>&#65279;<?xml version="1.0" encoding="utf-8"?><Relationships xmlns="http://schemas.openxmlformats.org/package/2006/relationships"><Relationship Type="http://schemas.openxmlformats.org/officeDocument/2006/relationships/drawing" Target="/xl/drawings/drawing6.xml" Id="R65f09dcaed2942b6" /></Relationships>
</file>

<file path=xl/worksheets/_rels/sheet17.xml.rels>&#65279;<?xml version="1.0" encoding="utf-8"?><Relationships xmlns="http://schemas.openxmlformats.org/package/2006/relationships"><Relationship Type="http://schemas.openxmlformats.org/officeDocument/2006/relationships/drawing" Target="/xl/drawings/drawing7.xml" Id="Rc55bdb7b79f74f22" /></Relationships>
</file>

<file path=xl/worksheets/_rels/sheet20.xml.rels>&#65279;<?xml version="1.0" encoding="utf-8"?><Relationships xmlns="http://schemas.openxmlformats.org/package/2006/relationships"><Relationship Type="http://schemas.openxmlformats.org/officeDocument/2006/relationships/drawing" Target="/xl/drawings/drawing8.xml" Id="Rda4019b055ed4b54" /></Relationships>
</file>

<file path=xl/worksheets/sheet1.xml><?xml version="1.0" encoding="utf-8"?>
<x:worksheet xmlns:x="http://schemas.openxmlformats.org/spreadsheetml/2006/main">
  <x:sheetFormatPr defaultRowHeight="15"/>
  <x:sheetData>
    <x:row r="1">
      <x:c r="A1" s="20" t="str">
        <x:v>Action-Figure Production Cost Study — Working Data File v1</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0"/>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t="str">
        <x:v>Purpose</x:v>
      </x:c>
      <x:c r="B3" s="20" t="str">
        <x:v>Working research file for the 2019–2026 Marvel Legends standard-MSRP study. This version locks the sample rules, source register, MSRP evidence, and first endpoint comparisons. Monthly production-series extraction will be added to the same structure.</x:v>
      </x:c>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20"/>
      <x:c r="B4" s="20"/>
      <x:c r="C4" s="20"/>
      <x:c r="D4" s="20"/>
      <x:c r="E4" s="20"/>
      <x:c r="F4" s="20"/>
      <x:c r="G4" s="20"/>
      <x:c r="H4" s="20"/>
      <x:c r="I4" s="20"/>
      <x:c r="J4" s="20"/>
      <x:c r="K4" s="20"/>
      <x:c r="L4" s="20"/>
      <x:c r="M4" s="20"/>
      <x:c r="N4" s="20"/>
      <x:c r="O4" s="20"/>
      <x:c r="P4" s="20"/>
      <x:c r="Q4" s="20"/>
      <x:c r="R4" s="20"/>
      <x:c r="S4" s="20"/>
      <x:c r="T4" s="20"/>
      <x:c r="U4" s="20"/>
      <x:c r="V4" s="20"/>
      <x:c r="W4" s="20"/>
      <x:c r="X4" s="20"/>
      <x:c r="Y4" s="20"/>
      <x:c r="Z4" s="20"/>
    </x:row>
    <x:row r="5">
      <x:c r="A5" s="20" t="str">
        <x:v>Primary research question</x:v>
      </x:c>
      <x:c r="B5" s="20" t="str">
        <x:v>Which production-related factors are most significantly associated with 2026 retail prices for standard collector-oriented action figures, using 2019–2026 as the evidence window?</x:v>
      </x:c>
      <x:c r="C5" s="20"/>
      <x:c r="D5" s="20"/>
      <x:c r="E5" s="20"/>
      <x:c r="F5" s="20"/>
      <x:c r="G5" s="20"/>
      <x:c r="H5" s="20"/>
      <x:c r="I5" s="20"/>
      <x:c r="J5" s="20"/>
      <x:c r="K5" s="20"/>
      <x:c r="L5" s="20"/>
      <x:c r="M5" s="20"/>
      <x:c r="N5" s="20"/>
      <x:c r="O5" s="20"/>
      <x:c r="P5" s="20"/>
      <x:c r="Q5" s="20"/>
      <x:c r="R5" s="20"/>
      <x:c r="S5" s="20"/>
      <x:c r="T5" s="20"/>
      <x:c r="U5" s="20"/>
      <x:c r="V5" s="20"/>
      <x:c r="W5" s="20"/>
      <x:c r="X5" s="20"/>
      <x:c r="Y5" s="20"/>
      <x:c r="Z5" s="20"/>
    </x:row>
    <x:row r="6">
      <x:c r="A6" s="20"/>
      <x:c r="B6" s="20"/>
      <x:c r="C6" s="20"/>
      <x:c r="D6" s="20"/>
      <x:c r="E6" s="20"/>
      <x:c r="F6" s="20"/>
      <x:c r="G6" s="20"/>
      <x:c r="H6" s="20"/>
      <x:c r="I6" s="20"/>
      <x:c r="J6" s="20"/>
      <x:c r="K6" s="20"/>
      <x:c r="L6" s="20"/>
      <x:c r="M6" s="20"/>
      <x:c r="N6" s="20"/>
      <x:c r="O6" s="20"/>
      <x:c r="P6" s="20"/>
      <x:c r="Q6" s="20"/>
      <x:c r="R6" s="20"/>
      <x:c r="S6" s="20"/>
      <x:c r="T6" s="20"/>
      <x:c r="U6" s="20"/>
      <x:c r="V6" s="20"/>
      <x:c r="W6" s="20"/>
      <x:c r="X6" s="20"/>
      <x:c r="Y6" s="20"/>
      <x:c r="Z6" s="20"/>
    </x:row>
    <x:row r="7">
      <x:c r="A7" s="20" t="str">
        <x:v>Important</x:v>
      </x:c>
      <x:c r="B7" s="20" t="str">
        <x:v>Industry indexes are cost-environment proxies. They are not Hasbro invoices and will not be described as Hasbro's exact costs.</x:v>
      </x:c>
      <x:c r="C7" s="20"/>
      <x:c r="D7" s="20"/>
      <x:c r="E7" s="20"/>
      <x:c r="F7" s="20"/>
      <x:c r="G7" s="20"/>
      <x:c r="H7" s="20"/>
      <x:c r="I7" s="20"/>
      <x:c r="J7" s="20"/>
      <x:c r="K7" s="20"/>
      <x:c r="L7" s="20"/>
      <x:c r="M7" s="20"/>
      <x:c r="N7" s="20"/>
      <x:c r="O7" s="20"/>
      <x:c r="P7" s="20"/>
      <x:c r="Q7" s="20"/>
      <x:c r="R7" s="20"/>
      <x:c r="S7" s="20"/>
      <x:c r="T7" s="20"/>
      <x:c r="U7" s="20"/>
      <x:c r="V7" s="20"/>
      <x:c r="W7" s="20"/>
      <x:c r="X7" s="20"/>
      <x:c r="Y7" s="20"/>
      <x:c r="Z7" s="20"/>
    </x:row>
    <x:row r="8">
      <x:c r="A8" s="20"/>
      <x:c r="B8" s="20"/>
      <x:c r="C8" s="20"/>
      <x:c r="D8" s="20"/>
      <x:c r="E8" s="20"/>
      <x:c r="F8" s="20"/>
      <x:c r="G8" s="20"/>
      <x:c r="H8" s="20"/>
      <x:c r="I8" s="20"/>
      <x:c r="J8" s="20"/>
      <x:c r="K8" s="20"/>
      <x:c r="L8" s="20"/>
      <x:c r="M8" s="20"/>
      <x:c r="N8" s="20"/>
      <x:c r="O8" s="20"/>
      <x:c r="P8" s="20"/>
      <x:c r="Q8" s="20"/>
      <x:c r="R8" s="20"/>
      <x:c r="S8" s="20"/>
      <x:c r="T8" s="20"/>
      <x:c r="U8" s="20"/>
      <x:c r="V8" s="20"/>
      <x:c r="W8" s="20"/>
      <x:c r="X8" s="20"/>
      <x:c r="Y8" s="20"/>
      <x:c r="Z8" s="20"/>
    </x:row>
    <x:row r="9">
      <x:c r="A9" s="20" t="str">
        <x:v>Workbook sheets</x:v>
      </x:c>
      <x:c r="B9" s="20"/>
      <x:c r="C9" s="20"/>
      <x:c r="D9" s="20"/>
      <x:c r="E9" s="20"/>
      <x:c r="F9" s="20"/>
      <x:c r="G9" s="20"/>
      <x:c r="H9" s="20"/>
      <x:c r="I9" s="20"/>
      <x:c r="J9" s="20"/>
      <x:c r="K9" s="20"/>
      <x:c r="L9" s="20"/>
      <x:c r="M9" s="20"/>
      <x:c r="N9" s="20"/>
      <x:c r="O9" s="20"/>
      <x:c r="P9" s="20"/>
      <x:c r="Q9" s="20"/>
      <x:c r="R9" s="20"/>
      <x:c r="S9" s="20"/>
      <x:c r="T9" s="20"/>
      <x:c r="U9" s="20"/>
      <x:c r="V9" s="20"/>
      <x:c r="W9" s="20"/>
      <x:c r="X9" s="20"/>
      <x:c r="Y9" s="20"/>
      <x:c r="Z9" s="20"/>
    </x:row>
    <x:row r="10">
      <x:c r="A10" s="20" t="str">
        <x:v>Source Register</x:v>
      </x:c>
      <x:c r="B10" s="20" t="str">
        <x:v>Exact series/source/provenance log for appendix construction</x:v>
      </x:c>
      <x:c r="C10" s="20"/>
      <x:c r="D10" s="20"/>
      <x:c r="E10" s="20"/>
      <x:c r="F10" s="20"/>
      <x:c r="G10" s="20"/>
      <x:c r="H10" s="20"/>
      <x:c r="I10" s="20"/>
      <x:c r="J10" s="20"/>
      <x:c r="K10" s="20"/>
      <x:c r="L10" s="20"/>
      <x:c r="M10" s="20"/>
      <x:c r="N10" s="20"/>
      <x:c r="O10" s="20"/>
      <x:c r="P10" s="20"/>
      <x:c r="Q10" s="20"/>
      <x:c r="R10" s="20"/>
      <x:c r="S10" s="20"/>
      <x:c r="T10" s="20"/>
      <x:c r="U10" s="20"/>
      <x:c r="V10" s="20"/>
      <x:c r="W10" s="20"/>
      <x:c r="X10" s="20"/>
      <x:c r="Y10" s="20"/>
      <x:c r="Z10" s="20"/>
    </x:row>
    <x:row r="11">
      <x:c r="A11" s="20" t="str">
        <x:v>Endpoint Snapshot</x:v>
      </x:c>
      <x:c r="B11" s="20" t="str">
        <x:v>Jan. 2019 vs latest 2026 comparison for first validated variables</x:v>
      </x:c>
      <x:c r="C11" s="20"/>
      <x:c r="D11" s="20"/>
      <x:c r="E11" s="20"/>
      <x:c r="F11" s="20"/>
      <x:c r="G11" s="20"/>
      <x:c r="H11" s="20"/>
      <x:c r="I11" s="20"/>
      <x:c r="J11" s="20"/>
      <x:c r="K11" s="20"/>
      <x:c r="L11" s="20"/>
      <x:c r="M11" s="20"/>
      <x:c r="N11" s="20"/>
      <x:c r="O11" s="20"/>
      <x:c r="P11" s="20"/>
      <x:c r="Q11" s="20"/>
      <x:c r="R11" s="20"/>
      <x:c r="S11" s="20"/>
      <x:c r="T11" s="20"/>
      <x:c r="U11" s="20"/>
      <x:c r="V11" s="20"/>
      <x:c r="W11" s="20"/>
      <x:c r="X11" s="20"/>
      <x:c r="Y11" s="20"/>
      <x:c r="Z11" s="20"/>
    </x:row>
    <x:row r="12">
      <x:c r="A12" s="20" t="str">
        <x:v>MSRP Timeline</x:v>
      </x:c>
      <x:c r="B12" s="20" t="str">
        <x:v>Evidence-backed standard MSRP regime changes</x:v>
      </x:c>
      <x:c r="C12" s="20"/>
      <x:c r="D12" s="20"/>
      <x:c r="E12" s="20"/>
      <x:c r="F12" s="20"/>
      <x:c r="G12" s="20"/>
      <x:c r="H12" s="20"/>
      <x:c r="I12" s="20"/>
      <x:c r="J12" s="20"/>
      <x:c r="K12" s="20"/>
      <x:c r="L12" s="20"/>
      <x:c r="M12" s="20"/>
      <x:c r="N12" s="20"/>
      <x:c r="O12" s="20"/>
      <x:c r="P12" s="20"/>
      <x:c r="Q12" s="20"/>
      <x:c r="R12" s="20"/>
      <x:c r="S12" s="20"/>
      <x:c r="T12" s="20"/>
      <x:c r="U12" s="20"/>
      <x:c r="V12" s="20"/>
      <x:c r="W12" s="20"/>
      <x:c r="X12" s="20"/>
      <x:c r="Y12" s="20"/>
      <x:c r="Z12" s="20"/>
    </x:row>
    <x:row r="13">
      <x:c r="A13" s="20" t="str">
        <x:v>Research Rules</x:v>
      </x:c>
      <x:c r="B13" s="20" t="str">
        <x:v>Locked inclusion/exclusion and interpretation rules</x:v>
      </x:c>
      <x:c r="C13" s="20"/>
      <x:c r="D13" s="20"/>
      <x:c r="E13" s="20"/>
      <x:c r="F13" s="20"/>
      <x:c r="G13" s="20"/>
      <x:c r="H13" s="20"/>
      <x:c r="I13" s="20"/>
      <x:c r="J13" s="20"/>
      <x:c r="K13" s="20"/>
      <x:c r="L13" s="20"/>
      <x:c r="M13" s="20"/>
      <x:c r="N13" s="20"/>
      <x:c r="O13" s="20"/>
      <x:c r="P13" s="20"/>
      <x:c r="Q13" s="20"/>
      <x:c r="R13" s="20"/>
      <x:c r="S13" s="20"/>
      <x:c r="T13" s="20"/>
      <x:c r="U13" s="20"/>
      <x:c r="V13" s="20"/>
      <x:c r="W13" s="20"/>
      <x:c r="X13" s="20"/>
      <x:c r="Y13" s="20"/>
      <x:c r="Z13" s="20"/>
    </x:row>
    <x:row r="14">
      <x:c r="A14" s="20" t="str">
        <x:v>Monthly Master</x:v>
      </x:c>
      <x:c r="B14" s="20" t="str">
        <x:v>Date spine and provisional MSRP regime field for monthly data integration</x:v>
      </x:c>
      <x:c r="C14" s="20"/>
      <x:c r="D14" s="20"/>
      <x:c r="E14" s="20"/>
      <x:c r="F14" s="20"/>
      <x:c r="G14" s="20"/>
      <x:c r="H14" s="20"/>
      <x:c r="I14" s="20"/>
      <x:c r="J14" s="20"/>
      <x:c r="K14" s="20"/>
      <x:c r="L14" s="20"/>
      <x:c r="M14" s="20"/>
      <x:c r="N14" s="20"/>
      <x:c r="O14" s="20"/>
      <x:c r="P14" s="20"/>
      <x:c r="Q14" s="20"/>
      <x:c r="R14" s="20"/>
      <x:c r="S14" s="20"/>
      <x:c r="T14" s="20"/>
      <x:c r="U14" s="20"/>
      <x:c r="V14" s="20"/>
      <x:c r="W14" s="20"/>
      <x:c r="X14" s="20"/>
      <x:c r="Y14" s="20"/>
      <x:c r="Z14" s="20"/>
    </x:row>
    <x:row r="15">
      <x:c r="A15" s="20"/>
      <x:c r="B15" s="20"/>
      <x:c r="C15" s="20"/>
      <x:c r="D15" s="20"/>
      <x:c r="E15" s="20"/>
      <x:c r="F15" s="20"/>
      <x:c r="G15" s="20"/>
      <x:c r="H15" s="20"/>
      <x:c r="I15" s="20"/>
      <x:c r="J15" s="20"/>
      <x:c r="K15" s="20"/>
      <x:c r="L15" s="20"/>
      <x:c r="M15" s="20"/>
      <x:c r="N15" s="20"/>
      <x:c r="O15" s="20"/>
      <x:c r="P15" s="20"/>
      <x:c r="Q15" s="20"/>
      <x:c r="R15" s="20"/>
      <x:c r="S15" s="20"/>
      <x:c r="T15" s="20"/>
      <x:c r="U15" s="20"/>
      <x:c r="V15" s="20"/>
      <x:c r="W15" s="20"/>
      <x:c r="X15" s="20"/>
      <x:c r="Y15" s="20"/>
      <x:c r="Z15" s="20"/>
    </x:row>
    <x:row r="16">
      <x:c r="A16" s="46" t="str">
        <x:v>Current Version</x:v>
      </x:c>
      <x:c r="B16" s="20" t="str">
        <x:v>V5 — multinational manufacturing labor comparison added</x:v>
      </x:c>
      <x:c r="C16" s="20"/>
      <x:c r="D16" s="20"/>
      <x:c r="E16" s="20"/>
      <x:c r="F16" s="20"/>
      <x:c r="G16" s="20"/>
      <x:c r="H16" s="20"/>
      <x:c r="I16" s="20"/>
      <x:c r="J16" s="20"/>
      <x:c r="K16" s="20"/>
      <x:c r="L16" s="20"/>
      <x:c r="M16" s="20"/>
      <x:c r="N16" s="20"/>
      <x:c r="O16" s="20"/>
      <x:c r="P16" s="20"/>
      <x:c r="Q16" s="20"/>
      <x:c r="R16" s="20"/>
      <x:c r="S16" s="20"/>
      <x:c r="T16" s="20"/>
      <x:c r="U16" s="20"/>
      <x:c r="V16" s="20"/>
      <x:c r="W16" s="20"/>
      <x:c r="X16" s="20"/>
      <x:c r="Y16" s="20"/>
      <x:c r="Z16" s="20"/>
    </x:row>
    <x:row r="17">
      <x:c r="A17" s="46" t="str">
        <x:v>Countries</x:v>
      </x:c>
      <x:c r="B17" s="20" t="str">
        <x:v>China, Vietnam, India</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row>
    <x:row r="18">
      <x:c r="A18" s="46" t="str">
        <x:v>Method</x:v>
      </x:c>
      <x:c r="B18" s="20" t="str">
        <x:v>Each country is normalized to its own 2019-era baseline; raw currency levels are not compared across countries.</x:v>
      </x:c>
      <x:c r="C18" s="20"/>
      <x:c r="D18" s="20"/>
      <x:c r="E18" s="20"/>
      <x:c r="F18" s="20"/>
      <x:c r="G18" s="20"/>
      <x:c r="H18" s="20"/>
      <x:c r="I18" s="20"/>
      <x:c r="J18" s="20"/>
      <x:c r="K18" s="20"/>
      <x:c r="L18" s="20"/>
      <x:c r="M18" s="20"/>
      <x:c r="N18" s="20"/>
      <x:c r="O18" s="20"/>
      <x:c r="P18" s="20"/>
      <x:c r="Q18" s="20"/>
      <x:c r="R18" s="20"/>
      <x:c r="S18" s="20"/>
      <x:c r="T18" s="20"/>
      <x:c r="U18" s="20"/>
      <x:c r="V18" s="20"/>
      <x:c r="W18" s="20"/>
      <x:c r="X18" s="20"/>
      <x:c r="Y18" s="20"/>
      <x:c r="Z18" s="20"/>
    </x:row>
    <x:row r="19">
      <x:c r="A19" s="46" t="str">
        <x:v>Source Appendix</x:v>
      </x:c>
      <x:c r="B19" s="20" t="str">
        <x:v>China NBS, Vietnam NSO, and India ASI/MOSPI sources plus India's wage-per-worker derivation are logged.</x:v>
      </x:c>
      <x:c r="C19" s="20"/>
      <x:c r="D19" s="20"/>
      <x:c r="E19" s="20"/>
      <x:c r="F19" s="20"/>
      <x:c r="G19" s="20"/>
      <x:c r="H19" s="20"/>
      <x:c r="I19" s="20"/>
      <x:c r="J19" s="20"/>
      <x:c r="K19" s="20"/>
      <x:c r="L19" s="20"/>
      <x:c r="M19" s="20"/>
      <x:c r="N19" s="20"/>
      <x:c r="O19" s="20"/>
      <x:c r="P19" s="20"/>
      <x:c r="Q19" s="20"/>
      <x:c r="R19" s="20"/>
      <x:c r="S19" s="20"/>
      <x:c r="T19" s="20"/>
      <x:c r="U19" s="20"/>
      <x:c r="V19" s="20"/>
      <x:c r="W19" s="20"/>
      <x:c r="X19" s="20"/>
      <x:c r="Y19" s="20"/>
      <x:c r="Z19" s="20"/>
    </x:row>
    <x:row r="20">
      <x:c r="A20" s="46" t="str">
        <x:v>Pause Point</x:v>
      </x:c>
      <x:c r="B20" s="20" t="str">
        <x:v>Labor-pressure comparison complete. No multinational weighted Hasbro labor index has been created.</x:v>
      </x:c>
      <x:c r="C20" s="20"/>
      <x:c r="D20" s="20"/>
      <x:c r="E20" s="20"/>
      <x:c r="F20" s="20"/>
      <x:c r="G20" s="20"/>
      <x:c r="H20" s="20"/>
      <x:c r="I20" s="20"/>
      <x:c r="J20" s="20"/>
      <x:c r="K20" s="20"/>
      <x:c r="L20" s="20"/>
      <x:c r="M20" s="20"/>
      <x:c r="N20" s="20"/>
      <x:c r="O20" s="20"/>
      <x:c r="P20" s="20"/>
      <x:c r="Q20" s="20"/>
      <x:c r="R20" s="20"/>
      <x:c r="S20" s="20"/>
      <x:c r="T20" s="20"/>
      <x:c r="U20" s="20"/>
      <x:c r="V20" s="20"/>
      <x:c r="W20" s="20"/>
      <x:c r="X20" s="20"/>
      <x:c r="Y20" s="20"/>
      <x:c r="Z20" s="20"/>
    </x:row>
    <x:row r="21">
      <x:c r="A21" s="80" t="str">
        <x:v>Researcher Decision Log</x:v>
      </x:c>
      <x:c r="B21" s="20" t="str">
        <x:v>A dedicated sheet now preserves the user's industry-informed suggestions, workarounds, and methodological decisions.</x:v>
      </x:c>
      <x:c r="C21" s="20"/>
      <x:c r="D21" s="20"/>
      <x:c r="E21" s="20"/>
      <x:c r="F21" s="20"/>
      <x:c r="G21" s="20"/>
      <x:c r="H21" s="20"/>
      <x:c r="I21" s="20"/>
      <x:c r="J21" s="20"/>
      <x:c r="K21" s="20"/>
      <x:c r="L21" s="20"/>
      <x:c r="M21" s="20"/>
      <x:c r="N21" s="20"/>
      <x:c r="O21" s="20"/>
      <x:c r="P21" s="20"/>
      <x:c r="Q21" s="20"/>
      <x:c r="R21" s="20"/>
      <x:c r="S21" s="20"/>
      <x:c r="T21" s="20"/>
      <x:c r="U21" s="20"/>
      <x:c r="V21" s="20"/>
      <x:c r="W21" s="20"/>
      <x:c r="X21" s="20"/>
      <x:c r="Y21" s="20"/>
      <x:c r="Z21" s="20"/>
    </x:row>
    <x:row r="22">
      <x:c r="A22" s="80" t="str">
        <x:v>Purpose</x:v>
      </x:c>
      <x:c r="B22" s="20" t="str">
        <x:v>Use this as a process appendix / methodology-development record if Dr. Dong wants to see how data limitations were solved.</x:v>
      </x:c>
      <x:c r="C22" s="20"/>
      <x:c r="D22" s="20"/>
      <x:c r="E22" s="20"/>
      <x:c r="F22" s="20"/>
      <x:c r="G22" s="20"/>
      <x:c r="H22" s="20"/>
      <x:c r="I22" s="20"/>
      <x:c r="J22" s="20"/>
      <x:c r="K22" s="20"/>
      <x:c r="L22" s="20"/>
      <x:c r="M22" s="20"/>
      <x:c r="N22" s="20"/>
      <x:c r="O22" s="20"/>
      <x:c r="P22" s="20"/>
      <x:c r="Q22" s="20"/>
      <x:c r="R22" s="20"/>
      <x:c r="S22" s="20"/>
      <x:c r="T22" s="20"/>
      <x:c r="U22" s="20"/>
      <x:c r="V22" s="20"/>
      <x:c r="W22" s="20"/>
      <x:c r="X22" s="20"/>
      <x:c r="Y22" s="20"/>
      <x:c r="Z22" s="20"/>
    </x:row>
    <x:row r="23">
      <x:c r="A23" s="103" t="str">
        <x:v>Hasbro COGS History</x:v>
      </x:c>
      <x:c r="B23" s="20" t="str">
        <x:v>New sheet reconstructs Hasbro cost-of-sales composition for 2019–2022 and aggregate COGS through 2025.</x:v>
      </x:c>
      <x:c r="C23" s="20"/>
      <x:c r="D23" s="20"/>
      <x:c r="E23" s="20"/>
      <x:c r="F23" s="20"/>
      <x:c r="G23" s="20"/>
      <x:c r="H23" s="20"/>
      <x:c r="I23" s="20"/>
      <x:c r="J23" s="20"/>
      <x:c r="K23" s="20"/>
      <x:c r="L23" s="20"/>
      <x:c r="M23" s="20"/>
      <x:c r="N23" s="20"/>
      <x:c r="O23" s="20"/>
      <x:c r="P23" s="20"/>
      <x:c r="Q23" s="20"/>
      <x:c r="R23" s="20"/>
      <x:c r="S23" s="20"/>
      <x:c r="T23" s="20"/>
      <x:c r="U23" s="20"/>
      <x:c r="V23" s="20"/>
      <x:c r="W23" s="20"/>
      <x:c r="X23" s="20"/>
      <x:c r="Y23" s="20"/>
      <x:c r="Z23" s="20"/>
    </x:row>
    <x:row r="24">
      <x:c r="A24" s="103" t="str">
        <x:v>Disclosure break</x:v>
      </x:c>
      <x:c r="B24" s="20" t="str">
        <x:v>The detailed component table was located for 2019–2022 but not for 2023–2025; later component values are intentionally left blank rather than estimated.</x:v>
      </x:c>
      <x:c r="C24" s="20"/>
      <x:c r="D24" s="20"/>
      <x:c r="E24" s="20"/>
      <x:c r="F24" s="20"/>
      <x:c r="G24" s="20"/>
      <x:c r="H24" s="20"/>
      <x:c r="I24" s="20"/>
      <x:c r="J24" s="20"/>
      <x:c r="K24" s="20"/>
      <x:c r="L24" s="20"/>
      <x:c r="M24" s="20"/>
      <x:c r="N24" s="20"/>
      <x:c r="O24" s="20"/>
      <x:c r="P24" s="20"/>
      <x:c r="Q24" s="20"/>
      <x:c r="R24" s="20"/>
      <x:c r="S24" s="20"/>
      <x:c r="T24" s="20"/>
      <x:c r="U24" s="20"/>
      <x:c r="V24" s="20"/>
      <x:c r="W24" s="20"/>
      <x:c r="X24" s="20"/>
      <x:c r="Y24" s="20"/>
      <x:c r="Z24" s="20"/>
    </x:row>
    <x:row r="25">
      <x:c r="A25" s="103" t="str">
        <x:v>Consumer Products context</x:v>
      </x:c>
      <x:c r="B25" s="20" t="str">
        <x:v>2023–2025 toy-business segment net revenue and cost of sales are included as a separate supplemental table.</x:v>
      </x:c>
      <x:c r="C25" s="20"/>
      <x:c r="D25" s="20"/>
      <x:c r="E25" s="20"/>
      <x:c r="F25" s="20"/>
      <x:c r="G25" s="20"/>
      <x:c r="H25" s="20"/>
      <x:c r="I25" s="20"/>
      <x:c r="J25" s="20"/>
      <x:c r="K25" s="20"/>
      <x:c r="L25" s="20"/>
      <x:c r="M25" s="20"/>
      <x:c r="N25" s="20"/>
      <x:c r="O25" s="20"/>
      <x:c r="P25" s="20"/>
      <x:c r="Q25" s="20"/>
      <x:c r="R25" s="20"/>
      <x:c r="S25" s="20"/>
      <x:c r="T25" s="20"/>
      <x:c r="U25" s="20"/>
      <x:c r="V25" s="20"/>
      <x:c r="W25" s="20"/>
      <x:c r="X25" s="20"/>
      <x:c r="Y25" s="20"/>
      <x:c r="Z25" s="20"/>
    </x:row>
    <x:row r="26">
      <x:c r="A26" s="121" t="str">
        <x:v>Industry Expert Context</x:v>
      </x:c>
      <x:c r="B26" s="20" t="str">
        <x:v>New sheet records only the strongest first-hand Bobby Vala/Valaverse manufacturing evidence and explicitly separates it from quantitative inputs.</x:v>
      </x:c>
      <x:c r="C26" s="20"/>
      <x:c r="D26" s="20"/>
      <x:c r="E26" s="20"/>
      <x:c r="F26" s="20"/>
      <x:c r="G26" s="20"/>
      <x:c r="H26" s="20"/>
      <x:c r="I26" s="20"/>
      <x:c r="J26" s="20"/>
      <x:c r="K26" s="20"/>
      <x:c r="L26" s="20"/>
      <x:c r="M26" s="20"/>
      <x:c r="N26" s="20"/>
      <x:c r="O26" s="20"/>
      <x:c r="P26" s="20"/>
      <x:c r="Q26" s="20"/>
      <x:c r="R26" s="20"/>
      <x:c r="S26" s="20"/>
      <x:c r="T26" s="20"/>
      <x:c r="U26" s="20"/>
      <x:c r="V26" s="20"/>
      <x:c r="W26" s="20"/>
      <x:c r="X26" s="20"/>
      <x:c r="Y26" s="20"/>
      <x:c r="Z26" s="20"/>
    </x:row>
    <x:row r="27">
      <x:c r="A27" s="121" t="str">
        <x:v>Labor conclusion</x:v>
      </x:c>
      <x:c r="B27" s="20" t="str">
        <x:v>No expert-source labor percentage was accepted; the existing official wage + Hasbro sourcing/accounting approach remains unchanged.</x:v>
      </x:c>
      <x:c r="C27" s="20"/>
      <x:c r="D27" s="20"/>
      <x:c r="E27" s="20"/>
      <x:c r="F27" s="20"/>
      <x:c r="G27" s="20"/>
      <x:c r="H27" s="20"/>
      <x:c r="I27" s="20"/>
      <x:c r="J27" s="20"/>
      <x:c r="K27" s="20"/>
      <x:c r="L27" s="20"/>
      <x:c r="M27" s="20"/>
      <x:c r="N27" s="20"/>
      <x:c r="O27" s="20"/>
      <x:c r="P27" s="20"/>
      <x:c r="Q27" s="20"/>
      <x:c r="R27" s="20"/>
      <x:c r="S27" s="20"/>
      <x:c r="T27" s="20"/>
      <x:c r="U27" s="20"/>
      <x:c r="V27" s="20"/>
      <x:c r="W27" s="20"/>
      <x:c r="X27" s="20"/>
      <x:c r="Y27" s="20"/>
      <x:c r="Z27" s="20"/>
    </x:row>
    <x:row r="28">
      <x:c r="A28" s="142" t="str">
        <x:v>Freight Analysis</x:v>
      </x:c>
      <x:c r="B28" s="20" t="str">
        <x:v>New sheet adds the monthly BLS Deep Sea Freight Transportation PPI through Aug-2026 and route-specific Drewry spot-rate checks.</x:v>
      </x:c>
      <x:c r="C28" s="20"/>
      <x:c r="D28" s="20"/>
      <x:c r="E28" s="20"/>
      <x:c r="F28" s="20"/>
      <x:c r="G28" s="20"/>
      <x:c r="H28" s="20"/>
      <x:c r="I28" s="20"/>
      <x:c r="J28" s="20"/>
      <x:c r="K28" s="20"/>
      <x:c r="L28" s="20"/>
      <x:c r="M28" s="20"/>
      <x:c r="N28" s="20"/>
      <x:c r="O28" s="20"/>
      <x:c r="P28" s="20"/>
      <x:c r="Q28" s="20"/>
      <x:c r="R28" s="20"/>
      <x:c r="S28" s="20"/>
      <x:c r="T28" s="20"/>
      <x:c r="U28" s="20"/>
      <x:c r="V28" s="20"/>
      <x:c r="W28" s="20"/>
      <x:c r="X28" s="20"/>
      <x:c r="Y28" s="20"/>
      <x:c r="Z28" s="20"/>
    </x:row>
    <x:row r="29">
      <x:c r="A29" s="142" t="str">
        <x:v>Freight scope</x:v>
      </x:c>
      <x:c r="B29" s="20" t="str">
        <x:v>Tariffs are explicitly excluded from freight and will be analyzed separately as import-duty/landed-cost pressure.</x:v>
      </x:c>
      <x:c r="C29" s="20"/>
      <x:c r="D29" s="20"/>
      <x:c r="E29" s="20"/>
      <x:c r="F29" s="20"/>
      <x:c r="G29" s="20"/>
      <x:c r="H29" s="20"/>
      <x:c r="I29" s="20"/>
      <x:c r="J29" s="20"/>
      <x:c r="K29" s="20"/>
      <x:c r="L29" s="20"/>
      <x:c r="M29" s="20"/>
      <x:c r="N29" s="20"/>
      <x:c r="O29" s="20"/>
      <x:c r="P29" s="20"/>
      <x:c r="Q29" s="20"/>
      <x:c r="R29" s="20"/>
      <x:c r="S29" s="20"/>
      <x:c r="T29" s="20"/>
      <x:c r="U29" s="20"/>
      <x:c r="V29" s="20"/>
      <x:c r="W29" s="20"/>
      <x:c r="X29" s="20"/>
      <x:c r="Y29" s="20"/>
      <x:c r="Z29" s="20"/>
    </x:row>
    <x:row r="30">
      <x:c r="A30" s="145" t="str">
        <x:v>Researcher freight insight</x:v>
      </x:c>
      <x:c r="B30" s="20" t="str">
        <x:v>Logged the user's observation that elevated 2026 petroleum/bunker-fuel conditions help explain freight pressure; petroleum remains an upstream mechanism, not a duplicate core freight variable.</x:v>
      </x:c>
      <x:c r="C30" s="20"/>
      <x:c r="D30" s="20"/>
      <x:c r="E30" s="20"/>
      <x:c r="F30" s="20"/>
      <x:c r="G30" s="20"/>
      <x:c r="H30" s="20"/>
      <x:c r="I30" s="20"/>
      <x:c r="J30" s="20"/>
      <x:c r="K30" s="20"/>
      <x:c r="L30" s="20"/>
      <x:c r="M30" s="20"/>
      <x:c r="N30" s="20"/>
      <x:c r="O30" s="20"/>
      <x:c r="P30" s="20"/>
      <x:c r="Q30" s="20"/>
      <x:c r="R30" s="20"/>
      <x:c r="S30" s="20"/>
      <x:c r="T30" s="20"/>
      <x:c r="U30" s="20"/>
      <x:c r="V30" s="20"/>
      <x:c r="W30" s="20"/>
      <x:c r="X30" s="20"/>
      <x:c r="Y30" s="20"/>
      <x:c r="Z30" s="20"/>
    </x:row>
    <x:row r="31">
      <x:c r="A31" s="167" t="str">
        <x:v>Tariff Analysis</x:v>
      </x:c>
      <x:c r="B31" s="20" t="str">
        <x:v>New sheet separates China-origin toy tariff policy timing from Hasbro's realized tariff expense and compares the 2025 shock with the Marvel Legends MSRP increase.</x:v>
      </x:c>
      <x:c r="C31" s="20"/>
      <x:c r="D31" s="20"/>
      <x:c r="E31" s="20"/>
      <x:c r="F31" s="20"/>
      <x:c r="G31" s="20"/>
      <x:c r="H31" s="20"/>
      <x:c r="I31" s="20"/>
      <x:c r="J31" s="20"/>
      <x:c r="K31" s="20"/>
      <x:c r="L31" s="20"/>
      <x:c r="M31" s="20"/>
      <x:c r="N31" s="20"/>
      <x:c r="O31" s="20"/>
      <x:c r="P31" s="20"/>
      <x:c r="Q31" s="20"/>
      <x:c r="R31" s="20"/>
      <x:c r="S31" s="20"/>
      <x:c r="T31" s="20"/>
      <x:c r="U31" s="20"/>
      <x:c r="V31" s="20"/>
      <x:c r="W31" s="20"/>
      <x:c r="X31" s="20"/>
      <x:c r="Y31" s="20"/>
      <x:c r="Z31" s="20"/>
    </x:row>
    <x:row r="32">
      <x:c r="A32" s="167" t="str">
        <x:v>Tariff method</x:v>
      </x:c>
      <x:c r="B32" s="20" t="str">
        <x:v>No direct pass-through assumption: headline policy rates are used for timing, while Hasbro's recognized tariff cost provides the magnitude anchor.</x:v>
      </x:c>
      <x:c r="C32" s="20"/>
      <x:c r="D32" s="20"/>
      <x:c r="E32" s="20"/>
      <x:c r="F32" s="20"/>
      <x:c r="G32" s="20"/>
      <x:c r="H32" s="20"/>
      <x:c r="I32" s="20"/>
      <x:c r="J32" s="20"/>
      <x:c r="K32" s="20"/>
      <x:c r="L32" s="20"/>
      <x:c r="M32" s="20"/>
      <x:c r="N32" s="20"/>
      <x:c r="O32" s="20"/>
      <x:c r="P32" s="20"/>
      <x:c r="Q32" s="20"/>
      <x:c r="R32" s="20"/>
      <x:c r="S32" s="20"/>
      <x:c r="T32" s="20"/>
      <x:c r="U32" s="20"/>
      <x:c r="V32" s="20"/>
      <x:c r="W32" s="20"/>
      <x:c r="X32" s="20"/>
      <x:c r="Y32" s="20"/>
      <x:c r="Z32" s="20"/>
    </x:row>
    <x:row r="33">
      <x:c r="A33" s="189" t="str">
        <x:v>Demand Analysis</x:v>
      </x:c>
      <x:c r="B33" s="20" t="str">
        <x:v>New sheet adds a monthly retail-demand proxy, annual U.S. action-figure category sales, unit/ASP evidence, adult/collector demand, and Hasbro action-figure POS checks.</x:v>
      </x:c>
      <x:c r="C33" s="20"/>
      <x:c r="D33" s="20"/>
      <x:c r="E33" s="20"/>
      <x:c r="F33" s="20"/>
      <x:c r="G33" s="20"/>
      <x:c r="H33" s="20"/>
      <x:c r="I33" s="20"/>
      <x:c r="J33" s="20"/>
      <x:c r="K33" s="20"/>
      <x:c r="L33" s="20"/>
      <x:c r="M33" s="20"/>
      <x:c r="N33" s="20"/>
      <x:c r="O33" s="20"/>
      <x:c r="P33" s="20"/>
      <x:c r="Q33" s="20"/>
      <x:c r="R33" s="20"/>
      <x:c r="S33" s="20"/>
      <x:c r="T33" s="20"/>
      <x:c r="U33" s="20"/>
      <x:c r="V33" s="20"/>
      <x:c r="W33" s="20"/>
      <x:c r="X33" s="20"/>
      <x:c r="Y33" s="20"/>
      <x:c r="Z33" s="20"/>
    </x:row>
    <x:row r="34">
      <x:c r="A34" s="189" t="str">
        <x:v>Demand caution</x:v>
      </x:c>
      <x:c r="B34" s="20" t="str">
        <x:v>Action-figure dollar sales are descriptive only because price changes themselves affect retail dollars; quantity/unit evidence is preferred where available.</x:v>
      </x:c>
      <x:c r="C34" s="20"/>
      <x:c r="D34" s="20"/>
      <x:c r="E34" s="20"/>
      <x:c r="F34" s="20"/>
      <x:c r="G34" s="20"/>
      <x:c r="H34" s="20"/>
      <x:c r="I34" s="20"/>
      <x:c r="J34" s="20"/>
      <x:c r="K34" s="20"/>
      <x:c r="L34" s="20"/>
      <x:c r="M34" s="20"/>
      <x:c r="N34" s="20"/>
      <x:c r="O34" s="20"/>
      <x:c r="P34" s="20"/>
      <x:c r="Q34" s="20"/>
      <x:c r="R34" s="20"/>
      <x:c r="S34" s="20"/>
      <x:c r="T34" s="20"/>
      <x:c r="U34" s="20"/>
      <x:c r="V34" s="20"/>
      <x:c r="W34" s="20"/>
      <x:c r="X34" s="20"/>
      <x:c r="Y34" s="20"/>
      <x:c r="Z34" s="20"/>
    </x:row>
    <x:row r="35">
      <x:c r="A35" s="189" t="str">
        <x:v>Demand model role</x:v>
      </x:c>
      <x:c r="B35" s="20" t="str">
        <x:v>Toy/Hobby retail-sales YoY growth is retained as a candidate robustness control, not automatically inserted into the core model.</x:v>
      </x:c>
      <x:c r="C35" s="20"/>
      <x:c r="D35" s="20"/>
      <x:c r="E35" s="20"/>
      <x:c r="F35" s="20"/>
      <x:c r="G35" s="20"/>
      <x:c r="H35" s="20"/>
      <x:c r="I35" s="20"/>
      <x:c r="J35" s="20"/>
      <x:c r="K35" s="20"/>
      <x:c r="L35" s="20"/>
      <x:c r="M35" s="20"/>
      <x:c r="N35" s="20"/>
      <x:c r="O35" s="20"/>
      <x:c r="P35" s="20"/>
      <x:c r="Q35" s="20"/>
      <x:c r="R35" s="20"/>
      <x:c r="S35" s="20"/>
      <x:c r="T35" s="20"/>
      <x:c r="U35" s="20"/>
      <x:c r="V35" s="20"/>
      <x:c r="W35" s="20"/>
      <x:c r="X35" s="20"/>
      <x:c r="Y35" s="20"/>
      <x:c r="Z35" s="20"/>
    </x:row>
    <x:row r="36">
      <x:c r="A36" s="205" t="str">
        <x:v>FX Analysis</x:v>
      </x:c>
      <x:c r="B36" s="20" t="str">
        <x:v>New sheet tests how USD/CNY movement changes the dollar-equivalent interpretation of China manufacturing-wage growth.</x:v>
      </x:c>
      <x:c r="C36" s="20"/>
      <x:c r="D36" s="20"/>
      <x:c r="E36" s="20"/>
      <x:c r="F36" s="20"/>
      <x:c r="G36" s="20"/>
      <x:c r="H36" s="20"/>
      <x:c r="I36" s="20"/>
      <x:c r="J36" s="20"/>
      <x:c r="K36" s="20"/>
      <x:c r="L36" s="20"/>
      <x:c r="M36" s="20"/>
      <x:c r="N36" s="20"/>
      <x:c r="O36" s="20"/>
      <x:c r="P36" s="20"/>
      <x:c r="Q36" s="20"/>
      <x:c r="R36" s="20"/>
      <x:c r="S36" s="20"/>
      <x:c r="T36" s="20"/>
      <x:c r="U36" s="20"/>
      <x:c r="V36" s="20"/>
      <x:c r="W36" s="20"/>
      <x:c r="X36" s="20"/>
      <x:c r="Y36" s="20"/>
      <x:c r="Z36" s="20"/>
    </x:row>
    <x:row r="37">
      <x:c r="A37" s="205" t="str">
        <x:v>FX method</x:v>
      </x:c>
      <x:c r="B37" s="20" t="str">
        <x:v>Local China wage growth remains primary; FX-adjusted wage growth is a sensitivity check only and does not represent Hasbro's contracted labor cost.</x:v>
      </x:c>
      <x:c r="C37" s="20"/>
      <x:c r="D37" s="20"/>
      <x:c r="E37" s="20"/>
      <x:c r="F37" s="20"/>
      <x:c r="G37" s="20"/>
      <x:c r="H37" s="20"/>
      <x:c r="I37" s="20"/>
      <x:c r="J37" s="20"/>
      <x:c r="K37" s="20"/>
      <x:c r="L37" s="20"/>
      <x:c r="M37" s="20"/>
      <x:c r="N37" s="20"/>
      <x:c r="O37" s="20"/>
      <x:c r="P37" s="20"/>
      <x:c r="Q37" s="20"/>
      <x:c r="R37" s="20"/>
      <x:c r="S37" s="20"/>
      <x:c r="T37" s="20"/>
      <x:c r="U37" s="20"/>
      <x:c r="V37" s="20"/>
      <x:c r="W37" s="20"/>
      <x:c r="X37" s="20"/>
      <x:c r="Y37" s="20"/>
      <x:c r="Z37" s="20"/>
    </x:row>
    <x:row r="38">
      <x:c r="A38" s="227" t="str">
        <x:v>Labor Sensitivity</x:v>
      </x:c>
      <x:c r="B38" s="20" t="str">
        <x:v>New low/base/high labor-pressure envelope. It is a sensitivity analysis, not a Marvel Legends labor-cost estimate.</x:v>
      </x:c>
      <x:c r="C38" s="20"/>
      <x:c r="D38" s="20"/>
      <x:c r="E38" s="20"/>
      <x:c r="F38" s="20"/>
      <x:c r="G38" s="20"/>
      <x:c r="H38" s="20"/>
      <x:c r="I38" s="20"/>
      <x:c r="J38" s="20"/>
      <x:c r="K38" s="20"/>
      <x:c r="L38" s="20"/>
      <x:c r="M38" s="20"/>
      <x:c r="N38" s="20"/>
      <x:c r="O38" s="20"/>
      <x:c r="P38" s="20"/>
      <x:c r="Q38" s="20"/>
      <x:c r="R38" s="20"/>
      <x:c r="S38" s="20"/>
      <x:c r="T38" s="20"/>
      <x:c r="U38" s="20"/>
      <x:c r="V38" s="20"/>
      <x:c r="W38" s="20"/>
      <x:c r="X38" s="20"/>
      <x:c r="Y38" s="20"/>
      <x:c r="Z38" s="20"/>
    </x:row>
    <x:row r="39">
      <x:c r="A39" s="227" t="str">
        <x:v>Labor model role</x:v>
      </x:c>
      <x:c r="B39" s="20" t="str">
        <x:v>Labor remains a formal supply-side factor but is not forced into the core monthly regression because national annual wage data and sourcing weights cannot support that precision.</x:v>
      </x:c>
      <x:c r="C39" s="20"/>
      <x:c r="D39" s="20"/>
      <x:c r="E39" s="20"/>
      <x:c r="F39" s="20"/>
      <x:c r="G39" s="20"/>
      <x:c r="H39" s="20"/>
      <x:c r="I39" s="20"/>
      <x:c r="J39" s="20"/>
      <x:c r="K39" s="20"/>
      <x:c r="L39" s="20"/>
      <x:c r="M39" s="20"/>
      <x:c r="N39" s="20"/>
      <x:c r="O39" s="20"/>
      <x:c r="P39" s="20"/>
      <x:c r="Q39" s="20"/>
      <x:c r="R39" s="20"/>
      <x:c r="S39" s="20"/>
      <x:c r="T39" s="20"/>
      <x:c r="U39" s="20"/>
      <x:c r="V39" s="20"/>
      <x:c r="W39" s="20"/>
      <x:c r="X39" s="20"/>
      <x:c r="Y39" s="20"/>
      <x:c r="Z39" s="20"/>
    </x:row>
    <x:row r="40">
      <x:c r="A40" s="227" t="str">
        <x:v>Labor stopping rule</x:v>
      </x:c>
      <x:c r="B40" s="20" t="str">
        <x:v>Method is frozen unless materially better Hasbro/product-line data become available.</x:v>
      </x:c>
      <x:c r="C40" s="20"/>
      <x:c r="D40" s="20"/>
      <x:c r="E40" s="20"/>
      <x:c r="F40" s="20"/>
      <x:c r="G40" s="20"/>
      <x:c r="H40" s="20"/>
      <x:c r="I40" s="20"/>
      <x:c r="J40" s="20"/>
      <x:c r="K40" s="20"/>
      <x:c r="L40" s="20"/>
      <x:c r="M40" s="20"/>
      <x:c r="N40" s="20"/>
      <x:c r="O40" s="20"/>
      <x:c r="P40" s="20"/>
      <x:c r="Q40" s="20"/>
      <x:c r="R40" s="20"/>
      <x:c r="S40" s="20"/>
      <x:c r="T40" s="20"/>
      <x:c r="U40" s="20"/>
      <x:c r="V40" s="20"/>
      <x:c r="W40" s="20"/>
      <x:c r="X40" s="20"/>
      <x:c r="Y40" s="20"/>
      <x:c r="Z40" s="20"/>
    </x:row>
    <x:row r="41">
      <x:c r="A41" s="254" t="str">
        <x:v>Packaging Analysis</x:v>
      </x:c>
      <x:c r="B41" s="20" t="str">
        <x:v>New sheet tests correlation/VIF overlap among ink, adhesives, paperboard and corrugated cartons.</x:v>
      </x:c>
      <x:c r="C41" s="20"/>
      <x:c r="D41" s="20"/>
      <x:c r="E41" s="20"/>
      <x:c r="F41" s="20"/>
      <x:c r="G41" s="20"/>
      <x:c r="H41" s="20"/>
      <x:c r="I41" s="20"/>
      <x:c r="J41" s="20"/>
      <x:c r="K41" s="20"/>
      <x:c r="L41" s="20"/>
      <x:c r="M41" s="20"/>
      <x:c r="N41" s="20"/>
      <x:c r="O41" s="20"/>
      <x:c r="P41" s="20"/>
      <x:c r="Q41" s="20"/>
      <x:c r="R41" s="20"/>
      <x:c r="S41" s="20"/>
      <x:c r="T41" s="20"/>
      <x:c r="U41" s="20"/>
      <x:c r="V41" s="20"/>
      <x:c r="W41" s="20"/>
      <x:c r="X41" s="20"/>
      <x:c r="Y41" s="20"/>
      <x:c r="Z41" s="20"/>
    </x:row>
    <x:row r="42">
      <x:c r="A42" s="254" t="str">
        <x:v>Packaging composite</x:v>
      </x:c>
      <x:c r="B42" s="20" t="str">
        <x:v>Core-model packaging variable is the equal-weight average of the four component indexes after normalization to Jan 2019=100.</x:v>
      </x:c>
      <x:c r="C42" s="20"/>
      <x:c r="D42" s="20"/>
      <x:c r="E42" s="20"/>
      <x:c r="F42" s="20"/>
      <x:c r="G42" s="20"/>
      <x:c r="H42" s="20"/>
      <x:c r="I42" s="20"/>
      <x:c r="J42" s="20"/>
      <x:c r="K42" s="20"/>
      <x:c r="L42" s="20"/>
      <x:c r="M42" s="20"/>
      <x:c r="N42" s="20"/>
      <x:c r="O42" s="20"/>
      <x:c r="P42" s="20"/>
      <x:c r="Q42" s="20"/>
      <x:c r="R42" s="20"/>
      <x:c r="S42" s="20"/>
      <x:c r="T42" s="20"/>
      <x:c r="U42" s="20"/>
      <x:c r="V42" s="20"/>
      <x:c r="W42" s="20"/>
      <x:c r="X42" s="20"/>
      <x:c r="Y42" s="20"/>
      <x:c r="Z42" s="20"/>
    </x:row>
    <x:row r="43">
      <x:c r="A43" s="254" t="str">
        <x:v>Packaging robustness</x:v>
      </x:c>
      <x:c r="B43" s="20" t="str">
        <x:v>Original component series remain intact for appendix and alternate-model checks; they are not discarded.</x:v>
      </x:c>
      <x:c r="C43" s="20"/>
      <x:c r="D43" s="20"/>
      <x:c r="E43" s="20"/>
      <x:c r="F43" s="20"/>
      <x:c r="G43" s="20"/>
      <x:c r="H43" s="20"/>
      <x:c r="I43" s="20"/>
      <x:c r="J43" s="20"/>
      <x:c r="K43" s="20"/>
      <x:c r="L43" s="20"/>
      <x:c r="M43" s="20"/>
      <x:c r="N43" s="20"/>
      <x:c r="O43" s="20"/>
      <x:c r="P43" s="20"/>
      <x:c r="Q43" s="20"/>
      <x:c r="R43" s="20"/>
      <x:c r="S43" s="20"/>
      <x:c r="T43" s="20"/>
      <x:c r="U43" s="20"/>
      <x:c r="V43" s="20"/>
      <x:c r="W43" s="20"/>
      <x:c r="X43" s="20"/>
      <x:c r="Y43" s="20"/>
      <x:c r="Z43" s="20"/>
    </x:row>
    <x:row r="44">
      <x:c r="A44" s="278" t="str">
        <x:v>MSRP Sample Audit</x:v>
      </x:c>
      <x:c r="B44" s="20" t="str">
        <x:v>New sheet confirms the four standard-price regimes, three transition dates, exclusion rules, and analytical treatment of retail overlap.</x:v>
      </x:c>
      <x:c r="C44" s="20"/>
      <x:c r="D44" s="20"/>
      <x:c r="E44" s="20"/>
      <x:c r="F44" s="20"/>
      <x:c r="G44" s="20"/>
      <x:c r="H44" s="20"/>
      <x:c r="I44" s="20"/>
      <x:c r="J44" s="20"/>
      <x:c r="K44" s="20"/>
      <x:c r="L44" s="20"/>
      <x:c r="M44" s="20"/>
      <x:c r="N44" s="20"/>
      <x:c r="O44" s="20"/>
      <x:c r="P44" s="20"/>
      <x:c r="Q44" s="20"/>
      <x:c r="R44" s="20"/>
      <x:c r="S44" s="20"/>
      <x:c r="T44" s="20"/>
      <x:c r="U44" s="20"/>
      <x:c r="V44" s="20"/>
      <x:c r="W44" s="20"/>
      <x:c r="X44" s="20"/>
      <x:c r="Y44" s="20"/>
      <x:c r="Z44" s="20"/>
    </x:row>
    <x:row r="45">
      <x:c r="A45" s="278" t="str">
        <x:v>MSRP modeling caution</x:v>
      </x:c>
      <x:c r="B45" s="20" t="str">
        <x:v>The monthly price series has 92 rows but only 3 upward changes; levels regressions are exploratory and cannot be interpreted as 92 independent pricing decisions.</x:v>
      </x:c>
      <x:c r="C45" s="20"/>
      <x:c r="D45" s="20"/>
      <x:c r="E45" s="20"/>
      <x:c r="F45" s="20"/>
      <x:c r="G45" s="20"/>
      <x:c r="H45" s="20"/>
      <x:c r="I45" s="20"/>
      <x:c r="J45" s="20"/>
      <x:c r="K45" s="20"/>
      <x:c r="L45" s="20"/>
      <x:c r="M45" s="20"/>
      <x:c r="N45" s="20"/>
      <x:c r="O45" s="20"/>
      <x:c r="P45" s="20"/>
      <x:c r="Q45" s="20"/>
      <x:c r="R45" s="20"/>
      <x:c r="S45" s="20"/>
      <x:c r="T45" s="20"/>
      <x:c r="U45" s="20"/>
      <x:c r="V45" s="20"/>
      <x:c r="W45" s="20"/>
      <x:c r="X45" s="20"/>
      <x:c r="Y45" s="20"/>
      <x:c r="Z45" s="20"/>
    </x:row>
    <x:row r="46">
      <x:c r="A46" s="278" t="str">
        <x:v>Plastics terminology</x:v>
      </x:c>
      <x:c r="B46" s="20" t="str">
        <x:v>Core material series is now labeled Thermoplastic Plastics / Resin PPI to distinguish industrial plastic feedstock from prototype/casting resin.</x:v>
      </x:c>
      <x:c r="C46" s="20"/>
      <x:c r="D46" s="20"/>
      <x:c r="E46" s="20"/>
      <x:c r="F46" s="20"/>
      <x:c r="G46" s="20"/>
      <x:c r="H46" s="20"/>
      <x:c r="I46" s="20"/>
      <x:c r="J46" s="20"/>
      <x:c r="K46" s="20"/>
      <x:c r="L46" s="20"/>
      <x:c r="M46" s="20"/>
      <x:c r="N46" s="20"/>
      <x:c r="O46" s="20"/>
      <x:c r="P46" s="20"/>
      <x:c r="Q46" s="20"/>
      <x:c r="R46" s="20"/>
      <x:c r="S46" s="20"/>
      <x:c r="T46" s="20"/>
      <x:c r="U46" s="20"/>
      <x:c r="V46" s="20"/>
      <x:c r="W46" s="20"/>
      <x:c r="X46" s="20"/>
      <x:c r="Y46" s="20"/>
      <x:c r="Z46" s="20"/>
    </x:row>
    <x:row r="47">
      <x:c r="A47" s="278" t="str">
        <x:v>Specific plastics stopping rule</x:v>
      </x:c>
      <x:c r="B47" s="20" t="str">
        <x:v>Do not reconstruct PVC/ABS/POM mix or Hasbro purchase price unless materially better evidence appears.</x:v>
      </x:c>
      <x:c r="C47" s="20"/>
      <x:c r="D47" s="20"/>
      <x:c r="E47" s="20"/>
      <x:c r="F47" s="20"/>
      <x:c r="G47" s="20"/>
      <x:c r="H47" s="20"/>
      <x:c r="I47" s="20"/>
      <x:c r="J47" s="20"/>
      <x:c r="K47" s="20"/>
      <x:c r="L47" s="20"/>
      <x:c r="M47" s="20"/>
      <x:c r="N47" s="20"/>
      <x:c r="O47" s="20"/>
      <x:c r="P47" s="20"/>
      <x:c r="Q47" s="20"/>
      <x:c r="R47" s="20"/>
      <x:c r="S47" s="20"/>
      <x:c r="T47" s="20"/>
      <x:c r="U47" s="20"/>
      <x:c r="V47" s="20"/>
      <x:c r="W47" s="20"/>
      <x:c r="X47" s="20"/>
      <x:c r="Y47" s="20"/>
      <x:c r="Z47" s="20"/>
    </x:row>
    <x:row r="48">
      <x:c r="A48" s="304" t="str">
        <x:v>Model Prep Diagnostics</x:v>
      </x:c>
      <x:c r="B48" s="20" t="str">
        <x:v>New sheet contains supply-variable correlation matrices, VIF, MSRP lag correlations, and 6/12-month pre-price-increase windows.</x:v>
      </x:c>
      <x:c r="C48" s="20"/>
      <x:c r="D48" s="20"/>
      <x:c r="E48" s="20"/>
      <x:c r="F48" s="20"/>
      <x:c r="G48" s="20"/>
      <x:c r="H48" s="20"/>
      <x:c r="I48" s="20"/>
      <x:c r="J48" s="20"/>
      <x:c r="K48" s="20"/>
      <x:c r="L48" s="20"/>
      <x:c r="M48" s="20"/>
      <x:c r="N48" s="20"/>
      <x:c r="O48" s="20"/>
      <x:c r="P48" s="20"/>
      <x:c r="Q48" s="20"/>
      <x:c r="R48" s="20"/>
      <x:c r="S48" s="20"/>
      <x:c r="T48" s="20"/>
      <x:c r="U48" s="20"/>
      <x:c r="V48" s="20"/>
      <x:c r="W48" s="20"/>
      <x:c r="X48" s="20"/>
      <x:c r="Y48" s="20"/>
      <x:c r="Z48" s="20"/>
    </x:row>
    <x:row r="49">
      <x:c r="A49" s="304" t="str">
        <x:v>Correlation caution</x:v>
      </x:c>
      <x:c r="B49" s="20" t="str">
        <x:v>Trending level correlations are diagnostic only; monthly-change and transition-window evidence are used to guard against shared-trend bias.</x:v>
      </x:c>
      <x:c r="C49" s="20"/>
      <x:c r="D49" s="20"/>
      <x:c r="E49" s="20"/>
      <x:c r="F49" s="20"/>
      <x:c r="G49" s="20"/>
      <x:c r="H49" s="20"/>
      <x:c r="I49" s="20"/>
      <x:c r="J49" s="20"/>
      <x:c r="K49" s="20"/>
      <x:c r="L49" s="20"/>
      <x:c r="M49" s="20"/>
      <x:c r="N49" s="20"/>
      <x:c r="O49" s="20"/>
      <x:c r="P49" s="20"/>
      <x:c r="Q49" s="20"/>
      <x:c r="R49" s="20"/>
      <x:c r="S49" s="20"/>
      <x:c r="T49" s="20"/>
      <x:c r="U49" s="20"/>
      <x:c r="V49" s="20"/>
      <x:c r="W49" s="20"/>
      <x:c r="X49" s="20"/>
      <x:c r="Y49" s="20"/>
      <x:c r="Z49" s="20"/>
    </x:row>
    <x:row r="50">
      <x:c r="A50" s="304" t="str">
        <x:v>Lag method</x:v>
      </x:c>
      <x:c r="B50" s="20" t="str">
        <x:v>0/3/6/9/12-month lags are compared as plausible production/pricing delays; no single best lag is accepted automatically.</x:v>
      </x:c>
      <x:c r="C50" s="20"/>
      <x:c r="D50" s="20"/>
      <x:c r="E50" s="20"/>
      <x:c r="F50" s="20"/>
      <x:c r="G50" s="20"/>
      <x:c r="H50" s="20"/>
      <x:c r="I50" s="20"/>
      <x:c r="J50" s="20"/>
      <x:c r="K50" s="20"/>
      <x:c r="L50" s="20"/>
      <x:c r="M50" s="20"/>
      <x:c r="N50" s="20"/>
      <x:c r="O50" s="20"/>
      <x:c r="P50" s="20"/>
      <x:c r="Q50" s="20"/>
      <x:c r="R50" s="20"/>
      <x:c r="S50" s="20"/>
      <x:c r="T50" s="20"/>
      <x:c r="U50" s="20"/>
      <x:c r="V50" s="20"/>
      <x:c r="W50" s="20"/>
      <x:c r="X50" s="20"/>
      <x:c r="Y50" s="20"/>
      <x:c r="Z50" s="20"/>
    </x:row>
    <x:row r="51">
      <x:c r="A51" s="327" t="str">
        <x:v>Regression Analysis</x:v>
      </x:c>
      <x:c r="B51" s="20" t="str">
        <x:v>New sheet contains first exploratory regression round, coefficient tables, model comparison, VIF, robust p-values, and reproducibility data.</x:v>
      </x:c>
      <x:c r="C51" s="20"/>
      <x:c r="D51" s="20"/>
      <x:c r="E51" s="20"/>
      <x:c r="F51" s="20"/>
      <x:c r="G51" s="20"/>
      <x:c r="H51" s="20"/>
      <x:c r="I51" s="20"/>
      <x:c r="J51" s="20"/>
      <x:c r="K51" s="20"/>
      <x:c r="L51" s="20"/>
      <x:c r="M51" s="20"/>
      <x:c r="N51" s="20"/>
      <x:c r="O51" s="20"/>
      <x:c r="P51" s="20"/>
      <x:c r="Q51" s="20"/>
      <x:c r="R51" s="20"/>
      <x:c r="S51" s="20"/>
      <x:c r="T51" s="20"/>
      <x:c r="U51" s="20"/>
      <x:c r="V51" s="20"/>
      <x:c r="W51" s="20"/>
      <x:c r="X51" s="20"/>
      <x:c r="Y51" s="20"/>
      <x:c r="Z51" s="20"/>
    </x:row>
    <x:row r="52">
      <x:c r="A52" s="327" t="str">
        <x:v>Preferred statistical form</x:v>
      </x:c>
      <x:c r="B52" s="20" t="str">
        <x:v>Primary regression uses 12-month percentage changes rather than raw trending levels.</x:v>
      </x:c>
      <x:c r="C52" s="20"/>
      <x:c r="D52" s="20"/>
      <x:c r="E52" s="20"/>
      <x:c r="F52" s="20"/>
      <x:c r="G52" s="20"/>
      <x:c r="H52" s="20"/>
      <x:c r="I52" s="20"/>
      <x:c r="J52" s="20"/>
      <x:c r="K52" s="20"/>
      <x:c r="L52" s="20"/>
      <x:c r="M52" s="20"/>
      <x:c r="N52" s="20"/>
      <x:c r="O52" s="20"/>
      <x:c r="P52" s="20"/>
      <x:c r="Q52" s="20"/>
      <x:c r="R52" s="20"/>
      <x:c r="S52" s="20"/>
      <x:c r="T52" s="20"/>
      <x:c r="U52" s="20"/>
      <x:c r="V52" s="20"/>
      <x:c r="W52" s="20"/>
      <x:c r="X52" s="20"/>
      <x:c r="Y52" s="20"/>
      <x:c r="Z52" s="20"/>
    </x:row>
    <x:row r="53">
      <x:c r="A53" s="327" t="str">
        <x:v>Standard errors</x:v>
      </x:c>
      <x:c r="B53" s="20" t="str">
        <x:v>HAC/Newey-West with 12 lags is used to account for serial dependence from overlapping annual-change windows.</x:v>
      </x:c>
      <x:c r="C53" s="20"/>
      <x:c r="D53" s="20"/>
      <x:c r="E53" s="20"/>
      <x:c r="F53" s="20"/>
      <x:c r="G53" s="20"/>
      <x:c r="H53" s="20"/>
      <x:c r="I53" s="20"/>
      <x:c r="J53" s="20"/>
      <x:c r="K53" s="20"/>
      <x:c r="L53" s="20"/>
      <x:c r="M53" s="20"/>
      <x:c r="N53" s="20"/>
      <x:c r="O53" s="20"/>
      <x:c r="P53" s="20"/>
      <x:c r="Q53" s="20"/>
      <x:c r="R53" s="20"/>
      <x:c r="S53" s="20"/>
      <x:c r="T53" s="20"/>
      <x:c r="U53" s="20"/>
      <x:c r="V53" s="20"/>
      <x:c r="W53" s="20"/>
      <x:c r="X53" s="20"/>
      <x:c r="Y53" s="20"/>
      <x:c r="Z53" s="20"/>
    </x:row>
    <x:row r="54">
      <x:c r="A54" s="327" t="str">
        <x:v>Interpretation limit</x:v>
      </x:c>
      <x:c r="B54" s="20" t="str">
        <x:v>Regression coefficients are associations, not product-level pass-through rates or causal estimates.</x:v>
      </x:c>
      <x:c r="C54" s="20"/>
      <x:c r="D54" s="20"/>
      <x:c r="E54" s="20"/>
      <x:c r="F54" s="20"/>
      <x:c r="G54" s="20"/>
      <x:c r="H54" s="20"/>
      <x:c r="I54" s="20"/>
      <x:c r="J54" s="20"/>
      <x:c r="K54" s="20"/>
      <x:c r="L54" s="20"/>
      <x:c r="M54" s="20"/>
      <x:c r="N54" s="20"/>
      <x:c r="O54" s="20"/>
      <x:c r="P54" s="20"/>
      <x:c r="Q54" s="20"/>
      <x:c r="R54" s="20"/>
      <x:c r="S54" s="20"/>
      <x:c r="T54" s="20"/>
      <x:c r="U54" s="20"/>
      <x:c r="V54" s="20"/>
      <x:c r="W54" s="20"/>
      <x:c r="X54" s="20"/>
      <x:c r="Y54" s="20"/>
      <x:c r="Z54" s="20"/>
    </x:row>
    <x:row r="55">
      <x:c r="A55" s="348" t="str">
        <x:v>Regression Robustness</x:v>
      </x:c>
      <x:c r="B55" s="20" t="str">
        <x:v>New sheet compares common 0/3/6/9/12-month lag models and several specification/sample checks.</x:v>
      </x:c>
      <x:c r="C55" s="20"/>
      <x:c r="D55" s="20"/>
      <x:c r="E55" s="20"/>
      <x:c r="F55" s="20"/>
      <x:c r="G55" s="20"/>
      <x:c r="H55" s="20"/>
      <x:c r="I55" s="20"/>
      <x:c r="J55" s="20"/>
      <x:c r="K55" s="20"/>
      <x:c r="L55" s="20"/>
      <x:c r="M55" s="20"/>
      <x:c r="N55" s="20"/>
      <x:c r="O55" s="20"/>
      <x:c r="P55" s="20"/>
      <x:c r="Q55" s="20"/>
      <x:c r="R55" s="20"/>
      <x:c r="S55" s="20"/>
      <x:c r="T55" s="20"/>
      <x:c r="U55" s="20"/>
      <x:c r="V55" s="20"/>
      <x:c r="W55" s="20"/>
      <x:c r="X55" s="20"/>
      <x:c r="Y55" s="20"/>
      <x:c r="Z55" s="20"/>
    </x:row>
    <x:row r="56">
      <x:c r="A56" s="348" t="str">
        <x:v>Lag rule</x:v>
      </x:c>
      <x:c r="B56" s="20" t="str">
        <x:v>Do not cherry-pick a separate 'best' lag for each cost variable; common-lag models are the formal robustness family.</x:v>
      </x:c>
      <x:c r="C56" s="20"/>
      <x:c r="D56" s="20"/>
      <x:c r="E56" s="20"/>
      <x:c r="F56" s="20"/>
      <x:c r="G56" s="20"/>
      <x:c r="H56" s="20"/>
      <x:c r="I56" s="20"/>
      <x:c r="J56" s="20"/>
      <x:c r="K56" s="20"/>
      <x:c r="L56" s="20"/>
      <x:c r="M56" s="20"/>
      <x:c r="N56" s="20"/>
      <x:c r="O56" s="20"/>
      <x:c r="P56" s="20"/>
      <x:c r="Q56" s="20"/>
      <x:c r="R56" s="20"/>
      <x:c r="S56" s="20"/>
      <x:c r="T56" s="20"/>
      <x:c r="U56" s="20"/>
      <x:c r="V56" s="20"/>
      <x:c r="W56" s="20"/>
      <x:c r="X56" s="20"/>
      <x:c r="Y56" s="20"/>
      <x:c r="Z56" s="20"/>
    </x:row>
    <x:row r="57">
      <x:c r="A57" s="348" t="str">
        <x:v>Demand robustness</x:v>
      </x:c>
      <x:c r="B57" s="20" t="str">
        <x:v>Preferred supply model is checked with and without the broad toy/hobby demand control.</x:v>
      </x:c>
      <x:c r="C57" s="20"/>
      <x:c r="D57" s="20"/>
      <x:c r="E57" s="20"/>
      <x:c r="F57" s="20"/>
      <x:c r="G57" s="20"/>
      <x:c r="H57" s="20"/>
      <x:c r="I57" s="20"/>
      <x:c r="J57" s="20"/>
      <x:c r="K57" s="20"/>
      <x:c r="L57" s="20"/>
      <x:c r="M57" s="20"/>
      <x:c r="N57" s="20"/>
      <x:c r="O57" s="20"/>
      <x:c r="P57" s="20"/>
      <x:c r="Q57" s="20"/>
      <x:c r="R57" s="20"/>
      <x:c r="S57" s="20"/>
      <x:c r="T57" s="20"/>
      <x:c r="U57" s="20"/>
      <x:c r="V57" s="20"/>
      <x:c r="W57" s="20"/>
      <x:c r="X57" s="20"/>
      <x:c r="Y57" s="20"/>
      <x:c r="Z57" s="20"/>
    </x:row>
    <x:row r="58">
      <x:c r="A58" s="348" t="str">
        <x:v>Sample robustness</x:v>
      </x:c>
      <x:c r="B58" s="20" t="str">
        <x:v>Preferred model is re-estimated before the Sep-2025 $27.99 regime to test whether results depend on the newest price period.</x:v>
      </x:c>
      <x:c r="C58" s="20"/>
      <x:c r="D58" s="20"/>
      <x:c r="E58" s="20"/>
      <x:c r="F58" s="20"/>
      <x:c r="G58" s="20"/>
      <x:c r="H58" s="20"/>
      <x:c r="I58" s="20"/>
      <x:c r="J58" s="20"/>
      <x:c r="K58" s="20"/>
      <x:c r="L58" s="20"/>
      <x:c r="M58" s="20"/>
      <x:c r="N58" s="20"/>
      <x:c r="O58" s="20"/>
      <x:c r="P58" s="20"/>
      <x:c r="Q58" s="20"/>
      <x:c r="R58" s="20"/>
      <x:c r="S58" s="20"/>
      <x:c r="T58" s="20"/>
      <x:c r="U58" s="20"/>
      <x:c r="V58" s="20"/>
      <x:c r="W58" s="20"/>
      <x:c r="X58" s="20"/>
      <x:c r="Y58" s="20"/>
      <x:c r="Z58" s="20"/>
    </x:row>
    <x:row r="59">
      <x:c r="A59" s="353" t="str">
        <x:v>Lag finding</x:v>
      </x:c>
      <x:c r="B59" s="20" t="str">
        <x:v>Freight/tooling align most strongly with contemporaneous or short-lag annual MSRP inflation, while resin shows stronger correlations at longer common lags; mixed timing remains exploratory and no variable-specific lag is cherry-picked.</x:v>
      </x:c>
      <x:c r="C59" s="20"/>
      <x:c r="D59" s="20"/>
      <x:c r="E59" s="20"/>
      <x:c r="F59" s="20"/>
      <x:c r="G59" s="20"/>
      <x:c r="H59" s="20"/>
      <x:c r="I59" s="20"/>
      <x:c r="J59" s="20"/>
      <x:c r="K59" s="20"/>
      <x:c r="L59" s="20"/>
      <x:c r="M59" s="20"/>
      <x:c r="N59" s="20"/>
      <x:c r="O59" s="20"/>
      <x:c r="P59" s="20"/>
      <x:c r="Q59" s="20"/>
      <x:c r="R59" s="20"/>
      <x:c r="S59" s="20"/>
      <x:c r="T59" s="20"/>
      <x:c r="U59" s="20"/>
      <x:c r="V59" s="20"/>
      <x:c r="W59" s="20"/>
      <x:c r="X59" s="20"/>
      <x:c r="Y59" s="20"/>
      <x:c r="Z59" s="20"/>
    </x:row>
    <x:row r="60">
      <x:c r="A60" s="371" t="str">
        <x:v>Evidence Synthesis</x:v>
      </x:c>
      <x:c r="B60" s="20" t="str">
        <x:v>New sheet combines transition windows, regressions, labor, tariffs, demand, and Hasbro timing evidence into the current empirical answer.</x:v>
      </x:c>
      <x:c r="C60" s="20"/>
      <x:c r="D60" s="20"/>
      <x:c r="E60" s="20"/>
      <x:c r="F60" s="20"/>
      <x:c r="G60" s="20"/>
      <x:c r="H60" s="20"/>
      <x:c r="I60" s="20"/>
      <x:c r="J60" s="20"/>
      <x:c r="K60" s="20"/>
      <x:c r="L60" s="20"/>
      <x:c r="M60" s="20"/>
      <x:c r="N60" s="20"/>
      <x:c r="O60" s="20"/>
      <x:c r="P60" s="20"/>
      <x:c r="Q60" s="20"/>
      <x:c r="R60" s="20"/>
      <x:c r="S60" s="20"/>
      <x:c r="T60" s="20"/>
      <x:c r="U60" s="20"/>
      <x:c r="V60" s="20"/>
      <x:c r="W60" s="20"/>
      <x:c r="X60" s="20"/>
      <x:c r="Y60" s="20"/>
      <x:c r="Z60" s="20"/>
    </x:row>
    <x:row r="61">
      <x:c r="A61" s="371" t="str">
        <x:v>Decision Appendix Draft</x:v>
      </x:c>
      <x:c r="B61" s="20" t="str">
        <x:v>New sheet contains short plain-English explanations for major research choices; intended for later appendix drafting, not transcript reproduction.</x:v>
      </x:c>
      <x:c r="C61" s="20"/>
      <x:c r="D61" s="20"/>
      <x:c r="E61" s="20"/>
      <x:c r="F61" s="20"/>
      <x:c r="G61" s="20"/>
      <x:c r="H61" s="20"/>
      <x:c r="I61" s="20"/>
      <x:c r="J61" s="20"/>
      <x:c r="K61" s="20"/>
      <x:c r="L61" s="20"/>
      <x:c r="M61" s="20"/>
      <x:c r="N61" s="20"/>
      <x:c r="O61" s="20"/>
      <x:c r="P61" s="20"/>
      <x:c r="Q61" s="20"/>
      <x:c r="R61" s="20"/>
      <x:c r="S61" s="20"/>
      <x:c r="T61" s="20"/>
      <x:c r="U61" s="20"/>
      <x:c r="V61" s="20"/>
      <x:c r="W61" s="20"/>
      <x:c r="X61" s="20"/>
      <x:c r="Y61" s="20"/>
      <x:c r="Z61" s="20"/>
    </x:row>
    <x:row r="62">
      <x:c r="A62" s="371" t="str">
        <x:v>Current drafting direction</x:v>
      </x:c>
      <x:c r="B62" s="20" t="str">
        <x:v>Organize results around the three MSRP increases because each has a different cost backdrop; use regression as supporting evidence rather than the entire story.</x:v>
      </x:c>
      <x:c r="C62" s="20"/>
      <x:c r="D62" s="20"/>
      <x:c r="E62" s="20"/>
      <x:c r="F62" s="20"/>
      <x:c r="G62" s="20"/>
      <x:c r="H62" s="20"/>
      <x:c r="I62" s="20"/>
      <x:c r="J62" s="20"/>
      <x:c r="K62" s="20"/>
      <x:c r="L62" s="20"/>
      <x:c r="M62" s="20"/>
      <x:c r="N62" s="20"/>
      <x:c r="O62" s="20"/>
      <x:c r="P62" s="20"/>
      <x:c r="Q62" s="20"/>
      <x:c r="R62" s="20"/>
      <x:c r="S62" s="20"/>
      <x:c r="T62" s="20"/>
      <x:c r="U62" s="20"/>
      <x:c r="V62" s="20"/>
      <x:c r="W62" s="20"/>
      <x:c r="X62" s="20"/>
      <x:c r="Y62" s="20"/>
      <x:c r="Z62" s="20"/>
    </x:row>
    <x:row r="63">
      <x:c r="A63" s="20"/>
      <x:c r="B63" s="20"/>
      <x:c r="C63" s="20"/>
      <x:c r="D63" s="20"/>
      <x:c r="E63" s="20"/>
      <x:c r="F63" s="20"/>
      <x:c r="G63" s="20"/>
      <x:c r="H63" s="20"/>
      <x:c r="I63" s="20"/>
      <x:c r="J63" s="20"/>
      <x:c r="K63" s="20"/>
      <x:c r="L63" s="20"/>
      <x:c r="M63" s="20"/>
      <x:c r="N63" s="20"/>
      <x:c r="O63" s="20"/>
      <x:c r="P63" s="20"/>
      <x:c r="Q63" s="20"/>
      <x:c r="R63" s="20"/>
      <x:c r="S63" s="20"/>
      <x:c r="T63" s="20"/>
      <x:c r="U63" s="20"/>
      <x:c r="V63" s="20"/>
      <x:c r="W63" s="20"/>
      <x:c r="X63" s="20"/>
      <x:c r="Y63" s="20"/>
      <x:c r="Z63" s="20"/>
    </x:row>
    <x:row r="64">
      <x:c r="A64" s="20"/>
      <x:c r="B64" s="20"/>
      <x:c r="C64" s="20"/>
      <x:c r="D64" s="20"/>
      <x:c r="E64" s="20"/>
      <x:c r="F64" s="20"/>
      <x:c r="G64" s="20"/>
      <x:c r="H64" s="20"/>
      <x:c r="I64" s="20"/>
      <x:c r="J64" s="20"/>
      <x:c r="K64" s="20"/>
      <x:c r="L64" s="20"/>
      <x:c r="M64" s="20"/>
      <x:c r="N64" s="20"/>
      <x:c r="O64" s="20"/>
      <x:c r="P64" s="20"/>
      <x:c r="Q64" s="20"/>
      <x:c r="R64" s="20"/>
      <x:c r="S64" s="20"/>
      <x:c r="T64" s="20"/>
      <x:c r="U64" s="20"/>
      <x:c r="V64" s="20"/>
      <x:c r="W64" s="20"/>
      <x:c r="X64" s="20"/>
      <x:c r="Y64" s="20"/>
      <x:c r="Z64" s="20"/>
    </x:row>
    <x:row r="65">
      <x:c r="A65" s="20"/>
      <x:c r="B65" s="20"/>
      <x:c r="C65" s="20"/>
      <x:c r="D65" s="20"/>
      <x:c r="E65" s="20"/>
      <x:c r="F65" s="20"/>
      <x:c r="G65" s="20"/>
      <x:c r="H65" s="20"/>
      <x:c r="I65" s="20"/>
      <x:c r="J65" s="20"/>
      <x:c r="K65" s="20"/>
      <x:c r="L65" s="20"/>
      <x:c r="M65" s="20"/>
      <x:c r="N65" s="20"/>
      <x:c r="O65" s="20"/>
      <x:c r="P65" s="20"/>
      <x:c r="Q65" s="20"/>
      <x:c r="R65" s="20"/>
      <x:c r="S65" s="20"/>
      <x:c r="T65" s="20"/>
      <x:c r="U65" s="20"/>
      <x:c r="V65" s="20"/>
      <x:c r="W65" s="20"/>
      <x:c r="X65" s="20"/>
      <x:c r="Y65" s="20"/>
      <x:c r="Z65" s="20"/>
    </x:row>
    <x:row r="66">
      <x:c r="A66" s="20"/>
      <x:c r="B66" s="20"/>
      <x:c r="C66" s="20"/>
      <x:c r="D66" s="20"/>
      <x:c r="E66" s="20"/>
      <x:c r="F66" s="20"/>
      <x:c r="G66" s="20"/>
      <x:c r="H66" s="20"/>
      <x:c r="I66" s="20"/>
      <x:c r="J66" s="20"/>
      <x:c r="K66" s="20"/>
      <x:c r="L66" s="20"/>
      <x:c r="M66" s="20"/>
      <x:c r="N66" s="20"/>
      <x:c r="O66" s="20"/>
      <x:c r="P66" s="20"/>
      <x:c r="Q66" s="20"/>
      <x:c r="R66" s="20"/>
      <x:c r="S66" s="20"/>
      <x:c r="T66" s="20"/>
      <x:c r="U66" s="20"/>
      <x:c r="V66" s="20"/>
      <x:c r="W66" s="20"/>
      <x:c r="X66" s="20"/>
      <x:c r="Y66" s="20"/>
      <x:c r="Z66" s="20"/>
    </x:row>
    <x:row r="67">
      <x:c r="A67" s="20"/>
      <x:c r="B67" s="20"/>
      <x:c r="C67" s="20"/>
      <x:c r="D67" s="20"/>
      <x:c r="E67" s="20"/>
      <x:c r="F67" s="20"/>
      <x:c r="G67" s="20"/>
      <x:c r="H67" s="20"/>
      <x:c r="I67" s="20"/>
      <x:c r="J67" s="20"/>
      <x:c r="K67" s="20"/>
      <x:c r="L67" s="20"/>
      <x:c r="M67" s="20"/>
      <x:c r="N67" s="20"/>
      <x:c r="O67" s="20"/>
      <x:c r="P67" s="20"/>
      <x:c r="Q67" s="20"/>
      <x:c r="R67" s="20"/>
      <x:c r="S67" s="20"/>
      <x:c r="T67" s="20"/>
      <x:c r="U67" s="20"/>
      <x:c r="V67" s="20"/>
      <x:c r="W67" s="20"/>
      <x:c r="X67" s="20"/>
      <x:c r="Y67" s="20"/>
      <x:c r="Z67" s="20"/>
    </x:row>
    <x:row r="68">
      <x:c r="A68" s="20"/>
      <x:c r="B68" s="20"/>
      <x:c r="C68" s="20"/>
      <x:c r="D68" s="20"/>
      <x:c r="E68" s="20"/>
      <x:c r="F68" s="20"/>
      <x:c r="G68" s="20"/>
      <x:c r="H68" s="20"/>
      <x:c r="I68" s="20"/>
      <x:c r="J68" s="20"/>
      <x:c r="K68" s="20"/>
      <x:c r="L68" s="20"/>
      <x:c r="M68" s="20"/>
      <x:c r="N68" s="20"/>
      <x:c r="O68" s="20"/>
      <x:c r="P68" s="20"/>
      <x:c r="Q68" s="20"/>
      <x:c r="R68" s="20"/>
      <x:c r="S68" s="20"/>
      <x:c r="T68" s="20"/>
      <x:c r="U68" s="20"/>
      <x:c r="V68" s="20"/>
      <x:c r="W68" s="20"/>
      <x:c r="X68" s="20"/>
      <x:c r="Y68" s="20"/>
      <x:c r="Z68" s="20"/>
    </x:row>
    <x:row r="69">
      <x:c r="A69" s="20"/>
      <x:c r="B69" s="20"/>
      <x:c r="C69" s="20"/>
      <x:c r="D69" s="20"/>
      <x:c r="E69" s="20"/>
      <x:c r="F69" s="20"/>
      <x:c r="G69" s="20"/>
      <x:c r="H69" s="20"/>
      <x:c r="I69" s="20"/>
      <x:c r="J69" s="20"/>
      <x:c r="K69" s="20"/>
      <x:c r="L69" s="20"/>
      <x:c r="M69" s="20"/>
      <x:c r="N69" s="20"/>
      <x:c r="O69" s="20"/>
      <x:c r="P69" s="20"/>
      <x:c r="Q69" s="20"/>
      <x:c r="R69" s="20"/>
      <x:c r="S69" s="20"/>
      <x:c r="T69" s="20"/>
      <x:c r="U69" s="20"/>
      <x:c r="V69" s="20"/>
      <x:c r="W69" s="20"/>
      <x:c r="X69" s="20"/>
      <x:c r="Y69" s="20"/>
      <x:c r="Z69" s="20"/>
    </x:row>
    <x:row r="70">
      <x:c r="A70" s="20"/>
      <x:c r="B70" s="20"/>
      <x:c r="C70" s="20"/>
      <x:c r="D70" s="20"/>
      <x:c r="E70" s="20"/>
      <x:c r="F70" s="20"/>
      <x:c r="G70" s="20"/>
      <x:c r="H70" s="20"/>
      <x:c r="I70" s="20"/>
      <x:c r="J70" s="20"/>
      <x:c r="K70" s="20"/>
      <x:c r="L70" s="20"/>
      <x:c r="M70" s="20"/>
      <x:c r="N70" s="20"/>
      <x:c r="O70" s="20"/>
      <x:c r="P70" s="20"/>
      <x:c r="Q70" s="20"/>
      <x:c r="R70" s="20"/>
      <x:c r="S70" s="20"/>
      <x:c r="T70" s="20"/>
      <x:c r="U70" s="20"/>
      <x:c r="V70" s="20"/>
      <x:c r="W70" s="20"/>
      <x:c r="X70" s="20"/>
      <x:c r="Y70" s="20"/>
      <x:c r="Z70" s="20"/>
    </x:row>
    <x:row r="71">
      <x:c r="A71" s="20"/>
      <x:c r="B71" s="20"/>
      <x:c r="C71" s="20"/>
      <x:c r="D71" s="20"/>
      <x:c r="E71" s="20"/>
      <x:c r="F71" s="20"/>
      <x:c r="G71" s="20"/>
      <x:c r="H71" s="20"/>
      <x:c r="I71" s="20"/>
      <x:c r="J71" s="20"/>
      <x:c r="K71" s="20"/>
      <x:c r="L71" s="20"/>
      <x:c r="M71" s="20"/>
      <x:c r="N71" s="20"/>
      <x:c r="O71" s="20"/>
      <x:c r="P71" s="20"/>
      <x:c r="Q71" s="20"/>
      <x:c r="R71" s="20"/>
      <x:c r="S71" s="20"/>
      <x:c r="T71" s="20"/>
      <x:c r="U71" s="20"/>
      <x:c r="V71" s="20"/>
      <x:c r="W71" s="20"/>
      <x:c r="X71" s="20"/>
      <x:c r="Y71" s="20"/>
      <x:c r="Z71" s="20"/>
    </x:row>
    <x:row r="72">
      <x:c r="A72" s="20"/>
      <x:c r="B72" s="20"/>
      <x:c r="C72" s="20"/>
      <x:c r="D72" s="20"/>
      <x:c r="E72" s="20"/>
      <x:c r="F72" s="20"/>
      <x:c r="G72" s="20"/>
      <x:c r="H72" s="20"/>
      <x:c r="I72" s="20"/>
      <x:c r="J72" s="20"/>
      <x:c r="K72" s="20"/>
      <x:c r="L72" s="20"/>
      <x:c r="M72" s="20"/>
      <x:c r="N72" s="20"/>
      <x:c r="O72" s="20"/>
      <x:c r="P72" s="20"/>
      <x:c r="Q72" s="20"/>
      <x:c r="R72" s="20"/>
      <x:c r="S72" s="20"/>
      <x:c r="T72" s="20"/>
      <x:c r="U72" s="20"/>
      <x:c r="V72" s="20"/>
      <x:c r="W72" s="20"/>
      <x:c r="X72" s="20"/>
      <x:c r="Y72" s="20"/>
      <x:c r="Z72" s="20"/>
    </x:row>
    <x:row r="73">
      <x:c r="A73" s="20"/>
      <x:c r="B73" s="20"/>
      <x:c r="C73" s="20"/>
      <x:c r="D73" s="20"/>
      <x:c r="E73" s="20"/>
      <x:c r="F73" s="20"/>
      <x:c r="G73" s="20"/>
      <x:c r="H73" s="20"/>
      <x:c r="I73" s="20"/>
      <x:c r="J73" s="20"/>
      <x:c r="K73" s="20"/>
      <x:c r="L73" s="20"/>
      <x:c r="M73" s="20"/>
      <x:c r="N73" s="20"/>
      <x:c r="O73" s="20"/>
      <x:c r="P73" s="20"/>
      <x:c r="Q73" s="20"/>
      <x:c r="R73" s="20"/>
      <x:c r="S73" s="20"/>
      <x:c r="T73" s="20"/>
      <x:c r="U73" s="20"/>
      <x:c r="V73" s="20"/>
      <x:c r="W73" s="20"/>
      <x:c r="X73" s="20"/>
      <x:c r="Y73" s="20"/>
      <x:c r="Z73" s="20"/>
    </x:row>
    <x:row r="74">
      <x:c r="A74" s="20"/>
      <x:c r="B74" s="20"/>
      <x:c r="C74" s="20"/>
      <x:c r="D74" s="20"/>
      <x:c r="E74" s="20"/>
      <x:c r="F74" s="20"/>
      <x:c r="G74" s="20"/>
      <x:c r="H74" s="20"/>
      <x:c r="I74" s="20"/>
      <x:c r="J74" s="20"/>
      <x:c r="K74" s="20"/>
      <x:c r="L74" s="20"/>
      <x:c r="M74" s="20"/>
      <x:c r="N74" s="20"/>
      <x:c r="O74" s="20"/>
      <x:c r="P74" s="20"/>
      <x:c r="Q74" s="20"/>
      <x:c r="R74" s="20"/>
      <x:c r="S74" s="20"/>
      <x:c r="T74" s="20"/>
      <x:c r="U74" s="20"/>
      <x:c r="V74" s="20"/>
      <x:c r="W74" s="20"/>
      <x:c r="X74" s="20"/>
      <x:c r="Y74" s="20"/>
      <x:c r="Z74" s="20"/>
    </x:row>
    <x:row r="75">
      <x:c r="A75" s="20"/>
      <x:c r="B75" s="20"/>
      <x:c r="C75" s="20"/>
      <x:c r="D75" s="20"/>
      <x:c r="E75" s="20"/>
      <x:c r="F75" s="20"/>
      <x:c r="G75" s="20"/>
      <x:c r="H75" s="20"/>
      <x:c r="I75" s="20"/>
      <x:c r="J75" s="20"/>
      <x:c r="K75" s="20"/>
      <x:c r="L75" s="20"/>
      <x:c r="M75" s="20"/>
      <x:c r="N75" s="20"/>
      <x:c r="O75" s="20"/>
      <x:c r="P75" s="20"/>
      <x:c r="Q75" s="20"/>
      <x:c r="R75" s="20"/>
      <x:c r="S75" s="20"/>
      <x:c r="T75" s="20"/>
      <x:c r="U75" s="20"/>
      <x:c r="V75" s="20"/>
      <x:c r="W75" s="20"/>
      <x:c r="X75" s="20"/>
      <x:c r="Y75" s="20"/>
      <x:c r="Z75" s="20"/>
    </x:row>
    <x:row r="76">
      <x:c r="A76" s="20"/>
      <x:c r="B76" s="20"/>
      <x:c r="C76" s="20"/>
      <x:c r="D76" s="20"/>
      <x:c r="E76" s="20"/>
      <x:c r="F76" s="20"/>
      <x:c r="G76" s="20"/>
      <x:c r="H76" s="20"/>
      <x:c r="I76" s="20"/>
      <x:c r="J76" s="20"/>
      <x:c r="K76" s="20"/>
      <x:c r="L76" s="20"/>
      <x:c r="M76" s="20"/>
      <x:c r="N76" s="20"/>
      <x:c r="O76" s="20"/>
      <x:c r="P76" s="20"/>
      <x:c r="Q76" s="20"/>
      <x:c r="R76" s="20"/>
      <x:c r="S76" s="20"/>
      <x:c r="T76" s="20"/>
      <x:c r="U76" s="20"/>
      <x:c r="V76" s="20"/>
      <x:c r="W76" s="20"/>
      <x:c r="X76" s="20"/>
      <x:c r="Y76" s="20"/>
      <x:c r="Z76" s="20"/>
    </x:row>
    <x:row r="77">
      <x:c r="A77" s="20"/>
      <x:c r="B77" s="20"/>
      <x:c r="C77" s="20"/>
      <x:c r="D77" s="20"/>
      <x:c r="E77" s="20"/>
      <x:c r="F77" s="20"/>
      <x:c r="G77" s="20"/>
      <x:c r="H77" s="20"/>
      <x:c r="I77" s="20"/>
      <x:c r="J77" s="20"/>
      <x:c r="K77" s="20"/>
      <x:c r="L77" s="20"/>
      <x:c r="M77" s="20"/>
      <x:c r="N77" s="20"/>
      <x:c r="O77" s="20"/>
      <x:c r="P77" s="20"/>
      <x:c r="Q77" s="20"/>
      <x:c r="R77" s="20"/>
      <x:c r="S77" s="20"/>
      <x:c r="T77" s="20"/>
      <x:c r="U77" s="20"/>
      <x:c r="V77" s="20"/>
      <x:c r="W77" s="20"/>
      <x:c r="X77" s="20"/>
      <x:c r="Y77" s="20"/>
      <x:c r="Z77" s="20"/>
    </x:row>
    <x:row r="78">
      <x:c r="A78" s="20"/>
      <x:c r="B78" s="20"/>
      <x:c r="C78" s="20"/>
      <x:c r="D78" s="20"/>
      <x:c r="E78" s="20"/>
      <x:c r="F78" s="20"/>
      <x:c r="G78" s="20"/>
      <x:c r="H78" s="20"/>
      <x:c r="I78" s="20"/>
      <x:c r="J78" s="20"/>
      <x:c r="K78" s="20"/>
      <x:c r="L78" s="20"/>
      <x:c r="M78" s="20"/>
      <x:c r="N78" s="20"/>
      <x:c r="O78" s="20"/>
      <x:c r="P78" s="20"/>
      <x:c r="Q78" s="20"/>
      <x:c r="R78" s="20"/>
      <x:c r="S78" s="20"/>
      <x:c r="T78" s="20"/>
      <x:c r="U78" s="20"/>
      <x:c r="V78" s="20"/>
      <x:c r="W78" s="20"/>
      <x:c r="X78" s="20"/>
      <x:c r="Y78" s="20"/>
      <x:c r="Z78" s="20"/>
    </x:row>
    <x:row r="79">
      <x:c r="A79" s="20"/>
      <x:c r="B79" s="20"/>
      <x:c r="C79" s="20"/>
      <x:c r="D79" s="20"/>
      <x:c r="E79" s="20"/>
      <x:c r="F79" s="20"/>
      <x:c r="G79" s="20"/>
      <x:c r="H79" s="20"/>
      <x:c r="I79" s="20"/>
      <x:c r="J79" s="20"/>
      <x:c r="K79" s="20"/>
      <x:c r="L79" s="20"/>
      <x:c r="M79" s="20"/>
      <x:c r="N79" s="20"/>
      <x:c r="O79" s="20"/>
      <x:c r="P79" s="20"/>
      <x:c r="Q79" s="20"/>
      <x:c r="R79" s="20"/>
      <x:c r="S79" s="20"/>
      <x:c r="T79" s="20"/>
      <x:c r="U79" s="20"/>
      <x:c r="V79" s="20"/>
      <x:c r="W79" s="20"/>
      <x:c r="X79" s="20"/>
      <x:c r="Y79" s="20"/>
      <x:c r="Z79" s="20"/>
    </x:row>
    <x:row r="80">
      <x:c r="A80" s="20"/>
      <x:c r="B80" s="20"/>
      <x:c r="C80" s="20"/>
      <x:c r="D80" s="20"/>
      <x:c r="E80" s="20"/>
      <x:c r="F80" s="20"/>
      <x:c r="G80" s="20"/>
      <x:c r="H80" s="20"/>
      <x:c r="I80" s="20"/>
      <x:c r="J80" s="20"/>
      <x:c r="K80" s="20"/>
      <x:c r="L80" s="20"/>
      <x:c r="M80" s="20"/>
      <x:c r="N80" s="20"/>
      <x:c r="O80" s="20"/>
      <x:c r="P80" s="20"/>
      <x:c r="Q80" s="20"/>
      <x:c r="R80" s="20"/>
      <x:c r="S80" s="20"/>
      <x:c r="T80" s="20"/>
      <x:c r="U80" s="20"/>
      <x:c r="V80" s="20"/>
      <x:c r="W80" s="20"/>
      <x:c r="X80" s="20"/>
      <x:c r="Y80" s="20"/>
      <x:c r="Z80" s="20"/>
    </x:row>
    <x:row r="81">
      <x:c r="A81" s="20"/>
      <x:c r="B81" s="20"/>
      <x:c r="C81" s="20"/>
      <x:c r="D81" s="20"/>
      <x:c r="E81" s="20"/>
      <x:c r="F81" s="20"/>
      <x:c r="G81" s="20"/>
      <x:c r="H81" s="20"/>
      <x:c r="I81" s="20"/>
      <x:c r="J81" s="20"/>
      <x:c r="K81" s="20"/>
      <x:c r="L81" s="20"/>
      <x:c r="M81" s="20"/>
      <x:c r="N81" s="20"/>
      <x:c r="O81" s="20"/>
      <x:c r="P81" s="20"/>
      <x:c r="Q81" s="20"/>
      <x:c r="R81" s="20"/>
      <x:c r="S81" s="20"/>
      <x:c r="T81" s="20"/>
      <x:c r="U81" s="20"/>
      <x:c r="V81" s="20"/>
      <x:c r="W81" s="20"/>
      <x:c r="X81" s="20"/>
      <x:c r="Y81" s="20"/>
      <x:c r="Z81" s="20"/>
    </x:row>
    <x:row r="82">
      <x:c r="A82" s="20"/>
      <x:c r="B82" s="20"/>
      <x:c r="C82" s="20"/>
      <x:c r="D82" s="20"/>
      <x:c r="E82" s="20"/>
      <x:c r="F82" s="20"/>
      <x:c r="G82" s="20"/>
      <x:c r="H82" s="20"/>
      <x:c r="I82" s="20"/>
      <x:c r="J82" s="20"/>
      <x:c r="K82" s="20"/>
      <x:c r="L82" s="20"/>
      <x:c r="M82" s="20"/>
      <x:c r="N82" s="20"/>
      <x:c r="O82" s="20"/>
      <x:c r="P82" s="20"/>
      <x:c r="Q82" s="20"/>
      <x:c r="R82" s="20"/>
      <x:c r="S82" s="20"/>
      <x:c r="T82" s="20"/>
      <x:c r="U82" s="20"/>
      <x:c r="V82" s="20"/>
      <x:c r="W82" s="20"/>
      <x:c r="X82" s="20"/>
      <x:c r="Y82" s="20"/>
      <x:c r="Z82" s="20"/>
    </x:row>
    <x:row r="83">
      <x:c r="A83" s="20"/>
      <x:c r="B83" s="20"/>
      <x:c r="C83" s="20"/>
      <x:c r="D83" s="20"/>
      <x:c r="E83" s="20"/>
      <x:c r="F83" s="20"/>
      <x:c r="G83" s="20"/>
      <x:c r="H83" s="20"/>
      <x:c r="I83" s="20"/>
      <x:c r="J83" s="20"/>
      <x:c r="K83" s="20"/>
      <x:c r="L83" s="20"/>
      <x:c r="M83" s="20"/>
      <x:c r="N83" s="20"/>
      <x:c r="O83" s="20"/>
      <x:c r="P83" s="20"/>
      <x:c r="Q83" s="20"/>
      <x:c r="R83" s="20"/>
      <x:c r="S83" s="20"/>
      <x:c r="T83" s="20"/>
      <x:c r="U83" s="20"/>
      <x:c r="V83" s="20"/>
      <x:c r="W83" s="20"/>
      <x:c r="X83" s="20"/>
      <x:c r="Y83" s="20"/>
      <x:c r="Z83" s="20"/>
    </x:row>
    <x:row r="84">
      <x:c r="A84" s="20"/>
      <x:c r="B84" s="20"/>
      <x:c r="C84" s="20"/>
      <x:c r="D84" s="20"/>
      <x:c r="E84" s="20"/>
      <x:c r="F84" s="20"/>
      <x:c r="G84" s="20"/>
      <x:c r="H84" s="20"/>
      <x:c r="I84" s="20"/>
      <x:c r="J84" s="20"/>
      <x:c r="K84" s="20"/>
      <x:c r="L84" s="20"/>
      <x:c r="M84" s="20"/>
      <x:c r="N84" s="20"/>
      <x:c r="O84" s="20"/>
      <x:c r="P84" s="20"/>
      <x:c r="Q84" s="20"/>
      <x:c r="R84" s="20"/>
      <x:c r="S84" s="20"/>
      <x:c r="T84" s="20"/>
      <x:c r="U84" s="20"/>
      <x:c r="V84" s="20"/>
      <x:c r="W84" s="20"/>
      <x:c r="X84" s="20"/>
      <x:c r="Y84" s="20"/>
      <x:c r="Z84" s="20"/>
    </x:row>
    <x:row r="85">
      <x:c r="A85" s="20"/>
      <x:c r="B85" s="20"/>
      <x:c r="C85" s="20"/>
      <x:c r="D85" s="20"/>
      <x:c r="E85" s="20"/>
      <x:c r="F85" s="20"/>
      <x:c r="G85" s="20"/>
      <x:c r="H85" s="20"/>
      <x:c r="I85" s="20"/>
      <x:c r="J85" s="20"/>
      <x:c r="K85" s="20"/>
      <x:c r="L85" s="20"/>
      <x:c r="M85" s="20"/>
      <x:c r="N85" s="20"/>
      <x:c r="O85" s="20"/>
      <x:c r="P85" s="20"/>
      <x:c r="Q85" s="20"/>
      <x:c r="R85" s="20"/>
      <x:c r="S85" s="20"/>
      <x:c r="T85" s="20"/>
      <x:c r="U85" s="20"/>
      <x:c r="V85" s="20"/>
      <x:c r="W85" s="20"/>
      <x:c r="X85" s="20"/>
      <x:c r="Y85" s="20"/>
      <x:c r="Z85" s="20"/>
    </x:row>
    <x:row r="86">
      <x:c r="A86" s="20"/>
      <x:c r="B86" s="20"/>
      <x:c r="C86" s="20"/>
      <x:c r="D86" s="20"/>
      <x:c r="E86" s="20"/>
      <x:c r="F86" s="20"/>
      <x:c r="G86" s="20"/>
      <x:c r="H86" s="20"/>
      <x:c r="I86" s="20"/>
      <x:c r="J86" s="20"/>
      <x:c r="K86" s="20"/>
      <x:c r="L86" s="20"/>
      <x:c r="M86" s="20"/>
      <x:c r="N86" s="20"/>
      <x:c r="O86" s="20"/>
      <x:c r="P86" s="20"/>
      <x:c r="Q86" s="20"/>
      <x:c r="R86" s="20"/>
      <x:c r="S86" s="20"/>
      <x:c r="T86" s="20"/>
      <x:c r="U86" s="20"/>
      <x:c r="V86" s="20"/>
      <x:c r="W86" s="20"/>
      <x:c r="X86" s="20"/>
      <x:c r="Y86" s="20"/>
      <x:c r="Z86" s="20"/>
    </x:row>
    <x:row r="87">
      <x:c r="A87" s="20"/>
      <x:c r="B87" s="20"/>
      <x:c r="C87" s="20"/>
      <x:c r="D87" s="20"/>
      <x:c r="E87" s="20"/>
      <x:c r="F87" s="20"/>
      <x:c r="G87" s="20"/>
      <x:c r="H87" s="20"/>
      <x:c r="I87" s="20"/>
      <x:c r="J87" s="20"/>
      <x:c r="K87" s="20"/>
      <x:c r="L87" s="20"/>
      <x:c r="M87" s="20"/>
      <x:c r="N87" s="20"/>
      <x:c r="O87" s="20"/>
      <x:c r="P87" s="20"/>
      <x:c r="Q87" s="20"/>
      <x:c r="R87" s="20"/>
      <x:c r="S87" s="20"/>
      <x:c r="T87" s="20"/>
      <x:c r="U87" s="20"/>
      <x:c r="V87" s="20"/>
      <x:c r="W87" s="20"/>
      <x:c r="X87" s="20"/>
      <x:c r="Y87" s="20"/>
      <x:c r="Z87" s="20"/>
    </x:row>
    <x:row r="88">
      <x:c r="A88" s="20"/>
      <x:c r="B88" s="20"/>
      <x:c r="C88" s="20"/>
      <x:c r="D88" s="20"/>
      <x:c r="E88" s="20"/>
      <x:c r="F88" s="20"/>
      <x:c r="G88" s="20"/>
      <x:c r="H88" s="20"/>
      <x:c r="I88" s="20"/>
      <x:c r="J88" s="20"/>
      <x:c r="K88" s="20"/>
      <x:c r="L88" s="20"/>
      <x:c r="M88" s="20"/>
      <x:c r="N88" s="20"/>
      <x:c r="O88" s="20"/>
      <x:c r="P88" s="20"/>
      <x:c r="Q88" s="20"/>
      <x:c r="R88" s="20"/>
      <x:c r="S88" s="20"/>
      <x:c r="T88" s="20"/>
      <x:c r="U88" s="20"/>
      <x:c r="V88" s="20"/>
      <x:c r="W88" s="20"/>
      <x:c r="X88" s="20"/>
      <x:c r="Y88" s="20"/>
      <x:c r="Z88" s="20"/>
    </x:row>
    <x:row r="89">
      <x:c r="A89" s="20"/>
      <x:c r="B89" s="20"/>
      <x:c r="C89" s="20"/>
      <x:c r="D89" s="20"/>
      <x:c r="E89" s="20"/>
      <x:c r="F89" s="20"/>
      <x:c r="G89" s="20"/>
      <x:c r="H89" s="20"/>
      <x:c r="I89" s="20"/>
      <x:c r="J89" s="20"/>
      <x:c r="K89" s="20"/>
      <x:c r="L89" s="20"/>
      <x:c r="M89" s="20"/>
      <x:c r="N89" s="20"/>
      <x:c r="O89" s="20"/>
      <x:c r="P89" s="20"/>
      <x:c r="Q89" s="20"/>
      <x:c r="R89" s="20"/>
      <x:c r="S89" s="20"/>
      <x:c r="T89" s="20"/>
      <x:c r="U89" s="20"/>
      <x:c r="V89" s="20"/>
      <x:c r="W89" s="20"/>
      <x:c r="X89" s="20"/>
      <x:c r="Y89" s="20"/>
      <x:c r="Z89" s="20"/>
    </x:row>
    <x:row r="90">
      <x:c r="A90" s="20"/>
      <x:c r="B90" s="20"/>
      <x:c r="C90" s="20"/>
      <x:c r="D90" s="20"/>
      <x:c r="E90" s="20"/>
      <x:c r="F90" s="20"/>
      <x:c r="G90" s="20"/>
      <x:c r="H90" s="20"/>
      <x:c r="I90" s="20"/>
      <x:c r="J90" s="20"/>
      <x:c r="K90" s="20"/>
      <x:c r="L90" s="20"/>
      <x:c r="M90" s="20"/>
      <x:c r="N90" s="20"/>
      <x:c r="O90" s="20"/>
      <x:c r="P90" s="20"/>
      <x:c r="Q90" s="20"/>
      <x:c r="R90" s="20"/>
      <x:c r="S90" s="20"/>
      <x:c r="T90" s="20"/>
      <x:c r="U90" s="20"/>
      <x:c r="V90" s="20"/>
      <x:c r="W90" s="20"/>
      <x:c r="X90" s="20"/>
      <x:c r="Y90" s="20"/>
      <x:c r="Z90" s="20"/>
    </x:row>
    <x:row r="91">
      <x:c r="A91" s="20"/>
      <x:c r="B91" s="20"/>
      <x:c r="C91" s="20"/>
      <x:c r="D91" s="20"/>
      <x:c r="E91" s="20"/>
      <x:c r="F91" s="20"/>
      <x:c r="G91" s="20"/>
      <x:c r="H91" s="20"/>
      <x:c r="I91" s="20"/>
      <x:c r="J91" s="20"/>
      <x:c r="K91" s="20"/>
      <x:c r="L91" s="20"/>
      <x:c r="M91" s="20"/>
      <x:c r="N91" s="20"/>
      <x:c r="O91" s="20"/>
      <x:c r="P91" s="20"/>
      <x:c r="Q91" s="20"/>
      <x:c r="R91" s="20"/>
      <x:c r="S91" s="20"/>
      <x:c r="T91" s="20"/>
      <x:c r="U91" s="20"/>
      <x:c r="V91" s="20"/>
      <x:c r="W91" s="20"/>
      <x:c r="X91" s="20"/>
      <x:c r="Y91" s="20"/>
      <x:c r="Z91" s="20"/>
    </x:row>
    <x:row r="92">
      <x:c r="A92" s="20"/>
      <x:c r="B92" s="20"/>
      <x:c r="C92" s="20"/>
      <x:c r="D92" s="20"/>
      <x:c r="E92" s="20"/>
      <x:c r="F92" s="20"/>
      <x:c r="G92" s="20"/>
      <x:c r="H92" s="20"/>
      <x:c r="I92" s="20"/>
      <x:c r="J92" s="20"/>
      <x:c r="K92" s="20"/>
      <x:c r="L92" s="20"/>
      <x:c r="M92" s="20"/>
      <x:c r="N92" s="20"/>
      <x:c r="O92" s="20"/>
      <x:c r="P92" s="20"/>
      <x:c r="Q92" s="20"/>
      <x:c r="R92" s="20"/>
      <x:c r="S92" s="20"/>
      <x:c r="T92" s="20"/>
      <x:c r="U92" s="20"/>
      <x:c r="V92" s="20"/>
      <x:c r="W92" s="20"/>
      <x:c r="X92" s="20"/>
      <x:c r="Y92" s="20"/>
      <x:c r="Z92" s="20"/>
    </x:row>
    <x:row r="93">
      <x:c r="A93" s="20"/>
      <x:c r="B93" s="20"/>
      <x:c r="C93" s="20"/>
      <x:c r="D93" s="20"/>
      <x:c r="E93" s="20"/>
      <x:c r="F93" s="20"/>
      <x:c r="G93" s="20"/>
      <x:c r="H93" s="20"/>
      <x:c r="I93" s="20"/>
      <x:c r="J93" s="20"/>
      <x:c r="K93" s="20"/>
      <x:c r="L93" s="20"/>
      <x:c r="M93" s="20"/>
      <x:c r="N93" s="20"/>
      <x:c r="O93" s="20"/>
      <x:c r="P93" s="20"/>
      <x:c r="Q93" s="20"/>
      <x:c r="R93" s="20"/>
      <x:c r="S93" s="20"/>
      <x:c r="T93" s="20"/>
      <x:c r="U93" s="20"/>
      <x:c r="V93" s="20"/>
      <x:c r="W93" s="20"/>
      <x:c r="X93" s="20"/>
      <x:c r="Y93" s="20"/>
      <x:c r="Z93" s="20"/>
    </x:row>
    <x:row r="94">
      <x:c r="A94" s="20"/>
      <x:c r="B94" s="20"/>
      <x:c r="C94" s="20"/>
      <x:c r="D94" s="20"/>
      <x:c r="E94" s="20"/>
      <x:c r="F94" s="20"/>
      <x:c r="G94" s="20"/>
      <x:c r="H94" s="20"/>
      <x:c r="I94" s="20"/>
      <x:c r="J94" s="20"/>
      <x:c r="K94" s="20"/>
      <x:c r="L94" s="20"/>
      <x:c r="M94" s="20"/>
      <x:c r="N94" s="20"/>
      <x:c r="O94" s="20"/>
      <x:c r="P94" s="20"/>
      <x:c r="Q94" s="20"/>
      <x:c r="R94" s="20"/>
      <x:c r="S94" s="20"/>
      <x:c r="T94" s="20"/>
      <x:c r="U94" s="20"/>
      <x:c r="V94" s="20"/>
      <x:c r="W94" s="20"/>
      <x:c r="X94" s="20"/>
      <x:c r="Y94" s="20"/>
      <x:c r="Z94" s="20"/>
    </x:row>
    <x:row r="95">
      <x:c r="A95" s="20"/>
      <x:c r="B95" s="20"/>
      <x:c r="C95" s="20"/>
      <x:c r="D95" s="20"/>
      <x:c r="E95" s="20"/>
      <x:c r="F95" s="20"/>
      <x:c r="G95" s="20"/>
      <x:c r="H95" s="20"/>
      <x:c r="I95" s="20"/>
      <x:c r="J95" s="20"/>
      <x:c r="K95" s="20"/>
      <x:c r="L95" s="20"/>
      <x:c r="M95" s="20"/>
      <x:c r="N95" s="20"/>
      <x:c r="O95" s="20"/>
      <x:c r="P95" s="20"/>
      <x:c r="Q95" s="20"/>
      <x:c r="R95" s="20"/>
      <x:c r="S95" s="20"/>
      <x:c r="T95" s="20"/>
      <x:c r="U95" s="20"/>
      <x:c r="V95" s="20"/>
      <x:c r="W95" s="20"/>
      <x:c r="X95" s="20"/>
      <x:c r="Y95" s="20"/>
      <x:c r="Z95" s="20"/>
    </x:row>
    <x:row r="96">
      <x:c r="A96" s="20"/>
      <x:c r="B96" s="20"/>
      <x:c r="C96" s="20"/>
      <x:c r="D96" s="20"/>
      <x:c r="E96" s="20"/>
      <x:c r="F96" s="20"/>
      <x:c r="G96" s="20"/>
      <x:c r="H96" s="20"/>
      <x:c r="I96" s="20"/>
      <x:c r="J96" s="20"/>
      <x:c r="K96" s="20"/>
      <x:c r="L96" s="20"/>
      <x:c r="M96" s="20"/>
      <x:c r="N96" s="20"/>
      <x:c r="O96" s="20"/>
      <x:c r="P96" s="20"/>
      <x:c r="Q96" s="20"/>
      <x:c r="R96" s="20"/>
      <x:c r="S96" s="20"/>
      <x:c r="T96" s="20"/>
      <x:c r="U96" s="20"/>
      <x:c r="V96" s="20"/>
      <x:c r="W96" s="20"/>
      <x:c r="X96" s="20"/>
      <x:c r="Y96" s="20"/>
      <x:c r="Z96" s="20"/>
    </x:row>
    <x:row r="97">
      <x:c r="A97" s="20"/>
      <x:c r="B97" s="20"/>
      <x:c r="C97" s="20"/>
      <x:c r="D97" s="20"/>
      <x:c r="E97" s="20"/>
      <x:c r="F97" s="20"/>
      <x:c r="G97" s="20"/>
      <x:c r="H97" s="20"/>
      <x:c r="I97" s="20"/>
      <x:c r="J97" s="20"/>
      <x:c r="K97" s="20"/>
      <x:c r="L97" s="20"/>
      <x:c r="M97" s="20"/>
      <x:c r="N97" s="20"/>
      <x:c r="O97" s="20"/>
      <x:c r="P97" s="20"/>
      <x:c r="Q97" s="20"/>
      <x:c r="R97" s="20"/>
      <x:c r="S97" s="20"/>
      <x:c r="T97" s="20"/>
      <x:c r="U97" s="20"/>
      <x:c r="V97" s="20"/>
      <x:c r="W97" s="20"/>
      <x:c r="X97" s="20"/>
      <x:c r="Y97" s="20"/>
      <x:c r="Z97" s="20"/>
    </x:row>
    <x:row r="98">
      <x:c r="A98" s="20"/>
      <x:c r="B98" s="20"/>
      <x:c r="C98" s="20"/>
      <x:c r="D98" s="20"/>
      <x:c r="E98" s="20"/>
      <x:c r="F98" s="20"/>
      <x:c r="G98" s="20"/>
      <x:c r="H98" s="20"/>
      <x:c r="I98" s="20"/>
      <x:c r="J98" s="20"/>
      <x:c r="K98" s="20"/>
      <x:c r="L98" s="20"/>
      <x:c r="M98" s="20"/>
      <x:c r="N98" s="20"/>
      <x:c r="O98" s="20"/>
      <x:c r="P98" s="20"/>
      <x:c r="Q98" s="20"/>
      <x:c r="R98" s="20"/>
      <x:c r="S98" s="20"/>
      <x:c r="T98" s="20"/>
      <x:c r="U98" s="20"/>
      <x:c r="V98" s="20"/>
      <x:c r="W98" s="20"/>
      <x:c r="X98" s="20"/>
      <x:c r="Y98" s="20"/>
      <x:c r="Z98" s="20"/>
    </x:row>
    <x:row r="99">
      <x:c r="A99" s="20"/>
      <x:c r="B99" s="20"/>
      <x:c r="C99" s="20"/>
      <x:c r="D99" s="20"/>
      <x:c r="E99" s="20"/>
      <x:c r="F99" s="20"/>
      <x:c r="G99" s="20"/>
      <x:c r="H99" s="20"/>
      <x:c r="I99" s="20"/>
      <x:c r="J99" s="20"/>
      <x:c r="K99" s="20"/>
      <x:c r="L99" s="20"/>
      <x:c r="M99" s="20"/>
      <x:c r="N99" s="20"/>
      <x:c r="O99" s="20"/>
      <x:c r="P99" s="20"/>
      <x:c r="Q99" s="20"/>
      <x:c r="R99" s="20"/>
      <x:c r="S99" s="20"/>
      <x:c r="T99" s="20"/>
      <x:c r="U99" s="20"/>
      <x:c r="V99" s="20"/>
      <x:c r="W99" s="20"/>
      <x:c r="X99" s="20"/>
      <x:c r="Y99" s="20"/>
      <x:c r="Z99" s="20"/>
    </x:row>
    <x:row r="100">
      <x:c r="A100" s="20"/>
      <x:c r="B100" s="20"/>
      <x:c r="C100" s="20"/>
      <x:c r="D100" s="20"/>
      <x:c r="E100" s="20"/>
      <x:c r="F100" s="20"/>
      <x:c r="G100" s="20"/>
      <x:c r="H100" s="20"/>
      <x:c r="I100" s="20"/>
      <x:c r="J100" s="20"/>
      <x:c r="K100" s="20"/>
      <x:c r="L100" s="20"/>
      <x:c r="M100" s="20"/>
      <x:c r="N100" s="20"/>
      <x:c r="O100" s="20"/>
      <x:c r="P100" s="20"/>
      <x:c r="Q100" s="20"/>
      <x:c r="R100" s="20"/>
      <x:c r="S100" s="20"/>
      <x:c r="T100" s="20"/>
      <x:c r="U100" s="20"/>
      <x:c r="V100" s="20"/>
      <x:c r="W100" s="20"/>
      <x:c r="X100" s="20"/>
      <x:c r="Y100" s="20"/>
      <x:c r="Z100" s="20"/>
    </x:row>
    <x:row r="101">
      <x:c r="A101" s="20"/>
      <x:c r="B101" s="20"/>
      <x:c r="C101" s="20"/>
      <x:c r="D101" s="20"/>
      <x:c r="E101" s="20"/>
      <x:c r="F101" s="20"/>
      <x:c r="G101" s="20"/>
      <x:c r="H101" s="20"/>
      <x:c r="I101" s="20"/>
      <x:c r="J101" s="20"/>
      <x:c r="K101" s="20"/>
      <x:c r="L101" s="20"/>
      <x:c r="M101" s="20"/>
      <x:c r="N101" s="20"/>
      <x:c r="O101" s="20"/>
      <x:c r="P101" s="20"/>
      <x:c r="Q101" s="20"/>
      <x:c r="R101" s="20"/>
      <x:c r="S101" s="20"/>
      <x:c r="T101" s="20"/>
      <x:c r="U101" s="20"/>
      <x:c r="V101" s="20"/>
      <x:c r="W101" s="20"/>
      <x:c r="X101" s="20"/>
      <x:c r="Y101" s="20"/>
      <x:c r="Z101" s="20"/>
    </x:row>
    <x:row r="102">
      <x:c r="A102" s="20"/>
      <x:c r="B102" s="20"/>
      <x:c r="C102" s="20"/>
      <x:c r="D102" s="20"/>
      <x:c r="E102" s="20"/>
      <x:c r="F102" s="20"/>
      <x:c r="G102" s="20"/>
      <x:c r="H102" s="20"/>
      <x:c r="I102" s="20"/>
      <x:c r="J102" s="20"/>
      <x:c r="K102" s="20"/>
      <x:c r="L102" s="20"/>
      <x:c r="M102" s="20"/>
      <x:c r="N102" s="20"/>
      <x:c r="O102" s="20"/>
      <x:c r="P102" s="20"/>
      <x:c r="Q102" s="20"/>
      <x:c r="R102" s="20"/>
      <x:c r="S102" s="20"/>
      <x:c r="T102" s="20"/>
      <x:c r="U102" s="20"/>
      <x:c r="V102" s="20"/>
      <x:c r="W102" s="20"/>
      <x:c r="X102" s="20"/>
      <x:c r="Y102" s="20"/>
      <x:c r="Z102" s="20"/>
    </x:row>
    <x:row r="103">
      <x:c r="A103" s="20"/>
      <x:c r="B103" s="20"/>
      <x:c r="C103" s="20"/>
      <x:c r="D103" s="20"/>
      <x:c r="E103" s="20"/>
      <x:c r="F103" s="20"/>
      <x:c r="G103" s="20"/>
      <x:c r="H103" s="20"/>
      <x:c r="I103" s="20"/>
      <x:c r="J103" s="20"/>
      <x:c r="K103" s="20"/>
      <x:c r="L103" s="20"/>
      <x:c r="M103" s="20"/>
      <x:c r="N103" s="20"/>
      <x:c r="O103" s="20"/>
      <x:c r="P103" s="20"/>
      <x:c r="Q103" s="20"/>
      <x:c r="R103" s="20"/>
      <x:c r="S103" s="20"/>
      <x:c r="T103" s="20"/>
      <x:c r="U103" s="20"/>
      <x:c r="V103" s="20"/>
      <x:c r="W103" s="20"/>
      <x:c r="X103" s="20"/>
      <x:c r="Y103" s="20"/>
      <x:c r="Z103" s="20"/>
    </x:row>
    <x:row r="104">
      <x:c r="A104" s="20"/>
      <x:c r="B104" s="20"/>
      <x:c r="C104" s="20"/>
      <x:c r="D104" s="20"/>
      <x:c r="E104" s="20"/>
      <x:c r="F104" s="20"/>
      <x:c r="G104" s="20"/>
      <x:c r="H104" s="20"/>
      <x:c r="I104" s="20"/>
      <x:c r="J104" s="20"/>
      <x:c r="K104" s="20"/>
      <x:c r="L104" s="20"/>
      <x:c r="M104" s="20"/>
      <x:c r="N104" s="20"/>
      <x:c r="O104" s="20"/>
      <x:c r="P104" s="20"/>
      <x:c r="Q104" s="20"/>
      <x:c r="R104" s="20"/>
      <x:c r="S104" s="20"/>
      <x:c r="T104" s="20"/>
      <x:c r="U104" s="20"/>
      <x:c r="V104" s="20"/>
      <x:c r="W104" s="20"/>
      <x:c r="X104" s="20"/>
      <x:c r="Y104" s="20"/>
      <x:c r="Z104" s="20"/>
    </x:row>
    <x:row r="105">
      <x:c r="A105" s="20"/>
      <x:c r="B105" s="20"/>
      <x:c r="C105" s="20"/>
      <x:c r="D105" s="20"/>
      <x:c r="E105" s="20"/>
      <x:c r="F105" s="20"/>
      <x:c r="G105" s="20"/>
      <x:c r="H105" s="20"/>
      <x:c r="I105" s="20"/>
      <x:c r="J105" s="20"/>
      <x:c r="K105" s="20"/>
      <x:c r="L105" s="20"/>
      <x:c r="M105" s="20"/>
      <x:c r="N105" s="20"/>
      <x:c r="O105" s="20"/>
      <x:c r="P105" s="20"/>
      <x:c r="Q105" s="20"/>
      <x:c r="R105" s="20"/>
      <x:c r="S105" s="20"/>
      <x:c r="T105" s="20"/>
      <x:c r="U105" s="20"/>
      <x:c r="V105" s="20"/>
      <x:c r="W105" s="20"/>
      <x:c r="X105" s="20"/>
      <x:c r="Y105" s="20"/>
      <x:c r="Z105" s="20"/>
    </x:row>
    <x:row r="106">
      <x:c r="A106" s="20"/>
      <x:c r="B106" s="20"/>
      <x:c r="C106" s="20"/>
      <x:c r="D106" s="20"/>
      <x:c r="E106" s="20"/>
      <x:c r="F106" s="20"/>
      <x:c r="G106" s="20"/>
      <x:c r="H106" s="20"/>
      <x:c r="I106" s="20"/>
      <x:c r="J106" s="20"/>
      <x:c r="K106" s="20"/>
      <x:c r="L106" s="20"/>
      <x:c r="M106" s="20"/>
      <x:c r="N106" s="20"/>
      <x:c r="O106" s="20"/>
      <x:c r="P106" s="20"/>
      <x:c r="Q106" s="20"/>
      <x:c r="R106" s="20"/>
      <x:c r="S106" s="20"/>
      <x:c r="T106" s="20"/>
      <x:c r="U106" s="20"/>
      <x:c r="V106" s="20"/>
      <x:c r="W106" s="20"/>
      <x:c r="X106" s="20"/>
      <x:c r="Y106" s="20"/>
      <x:c r="Z106" s="20"/>
    </x:row>
    <x:row r="107">
      <x:c r="A107" s="20"/>
      <x:c r="B107" s="20"/>
      <x:c r="C107" s="20"/>
      <x:c r="D107" s="20"/>
      <x:c r="E107" s="20"/>
      <x:c r="F107" s="20"/>
      <x:c r="G107" s="20"/>
      <x:c r="H107" s="20"/>
      <x:c r="I107" s="20"/>
      <x:c r="J107" s="20"/>
      <x:c r="K107" s="20"/>
      <x:c r="L107" s="20"/>
      <x:c r="M107" s="20"/>
      <x:c r="N107" s="20"/>
      <x:c r="O107" s="20"/>
      <x:c r="P107" s="20"/>
      <x:c r="Q107" s="20"/>
      <x:c r="R107" s="20"/>
      <x:c r="S107" s="20"/>
      <x:c r="T107" s="20"/>
      <x:c r="U107" s="20"/>
      <x:c r="V107" s="20"/>
      <x:c r="W107" s="20"/>
      <x:c r="X107" s="20"/>
      <x:c r="Y107" s="20"/>
      <x:c r="Z107" s="20"/>
    </x:row>
    <x:row r="108">
      <x:c r="A108" s="20"/>
      <x:c r="B108" s="20"/>
      <x:c r="C108" s="20"/>
      <x:c r="D108" s="20"/>
      <x:c r="E108" s="20"/>
      <x:c r="F108" s="20"/>
      <x:c r="G108" s="20"/>
      <x:c r="H108" s="20"/>
      <x:c r="I108" s="20"/>
      <x:c r="J108" s="20"/>
      <x:c r="K108" s="20"/>
      <x:c r="L108" s="20"/>
      <x:c r="M108" s="20"/>
      <x:c r="N108" s="20"/>
      <x:c r="O108" s="20"/>
      <x:c r="P108" s="20"/>
      <x:c r="Q108" s="20"/>
      <x:c r="R108" s="20"/>
      <x:c r="S108" s="20"/>
      <x:c r="T108" s="20"/>
      <x:c r="U108" s="20"/>
      <x:c r="V108" s="20"/>
      <x:c r="W108" s="20"/>
      <x:c r="X108" s="20"/>
      <x:c r="Y108" s="20"/>
      <x:c r="Z108" s="20"/>
    </x:row>
    <x:row r="109">
      <x:c r="A109" s="20"/>
      <x:c r="B109" s="20"/>
      <x:c r="C109" s="20"/>
      <x:c r="D109" s="20"/>
      <x:c r="E109" s="20"/>
      <x:c r="F109" s="20"/>
      <x:c r="G109" s="20"/>
      <x:c r="H109" s="20"/>
      <x:c r="I109" s="20"/>
      <x:c r="J109" s="20"/>
      <x:c r="K109" s="20"/>
      <x:c r="L109" s="20"/>
      <x:c r="M109" s="20"/>
      <x:c r="N109" s="20"/>
      <x:c r="O109" s="20"/>
      <x:c r="P109" s="20"/>
      <x:c r="Q109" s="20"/>
      <x:c r="R109" s="20"/>
      <x:c r="S109" s="20"/>
      <x:c r="T109" s="20"/>
      <x:c r="U109" s="20"/>
      <x:c r="V109" s="20"/>
      <x:c r="W109" s="20"/>
      <x:c r="X109" s="20"/>
      <x:c r="Y109" s="20"/>
      <x:c r="Z109" s="20"/>
    </x:row>
    <x:row r="110">
      <x:c r="A110" s="20"/>
      <x:c r="B110" s="20"/>
      <x:c r="C110" s="20"/>
      <x:c r="D110" s="20"/>
      <x:c r="E110" s="20"/>
      <x:c r="F110" s="20"/>
      <x:c r="G110" s="20"/>
      <x:c r="H110" s="20"/>
      <x:c r="I110" s="20"/>
      <x:c r="J110" s="20"/>
      <x:c r="K110" s="20"/>
      <x:c r="L110" s="20"/>
      <x:c r="M110" s="20"/>
      <x:c r="N110" s="20"/>
      <x:c r="O110" s="20"/>
      <x:c r="P110" s="20"/>
      <x:c r="Q110" s="20"/>
      <x:c r="R110" s="20"/>
      <x:c r="S110" s="20"/>
      <x:c r="T110" s="20"/>
      <x:c r="U110" s="20"/>
      <x:c r="V110" s="20"/>
      <x:c r="W110" s="20"/>
      <x:c r="X110" s="20"/>
      <x:c r="Y110" s="20"/>
      <x:c r="Z110" s="20"/>
    </x:row>
    <x:row r="111">
      <x:c r="A111" s="20"/>
      <x:c r="B111" s="20"/>
      <x:c r="C111" s="20"/>
      <x:c r="D111" s="20"/>
      <x:c r="E111" s="20"/>
      <x:c r="F111" s="20"/>
      <x:c r="G111" s="20"/>
      <x:c r="H111" s="20"/>
      <x:c r="I111" s="20"/>
      <x:c r="J111" s="20"/>
      <x:c r="K111" s="20"/>
      <x:c r="L111" s="20"/>
      <x:c r="M111" s="20"/>
      <x:c r="N111" s="20"/>
      <x:c r="O111" s="20"/>
      <x:c r="P111" s="20"/>
      <x:c r="Q111" s="20"/>
      <x:c r="R111" s="20"/>
      <x:c r="S111" s="20"/>
      <x:c r="T111" s="20"/>
      <x:c r="U111" s="20"/>
      <x:c r="V111" s="20"/>
      <x:c r="W111" s="20"/>
      <x:c r="X111" s="20"/>
      <x:c r="Y111" s="20"/>
      <x:c r="Z111" s="20"/>
    </x:row>
    <x:row r="112">
      <x:c r="A112" s="20"/>
      <x:c r="B112" s="20"/>
      <x:c r="C112" s="20"/>
      <x:c r="D112" s="20"/>
      <x:c r="E112" s="20"/>
      <x:c r="F112" s="20"/>
      <x:c r="G112" s="20"/>
      <x:c r="H112" s="20"/>
      <x:c r="I112" s="20"/>
      <x:c r="J112" s="20"/>
      <x:c r="K112" s="20"/>
      <x:c r="L112" s="20"/>
      <x:c r="M112" s="20"/>
      <x:c r="N112" s="20"/>
      <x:c r="O112" s="20"/>
      <x:c r="P112" s="20"/>
      <x:c r="Q112" s="20"/>
      <x:c r="R112" s="20"/>
      <x:c r="S112" s="20"/>
      <x:c r="T112" s="20"/>
      <x:c r="U112" s="20"/>
      <x:c r="V112" s="20"/>
      <x:c r="W112" s="20"/>
      <x:c r="X112" s="20"/>
      <x:c r="Y112" s="20"/>
      <x:c r="Z112" s="20"/>
    </x:row>
    <x:row r="113">
      <x:c r="A113" s="20"/>
      <x:c r="B113" s="20"/>
      <x:c r="C113" s="20"/>
      <x:c r="D113" s="20"/>
      <x:c r="E113" s="20"/>
      <x:c r="F113" s="20"/>
      <x:c r="G113" s="20"/>
      <x:c r="H113" s="20"/>
      <x:c r="I113" s="20"/>
      <x:c r="J113" s="20"/>
      <x:c r="K113" s="20"/>
      <x:c r="L113" s="20"/>
      <x:c r="M113" s="20"/>
      <x:c r="N113" s="20"/>
      <x:c r="O113" s="20"/>
      <x:c r="P113" s="20"/>
      <x:c r="Q113" s="20"/>
      <x:c r="R113" s="20"/>
      <x:c r="S113" s="20"/>
      <x:c r="T113" s="20"/>
      <x:c r="U113" s="20"/>
      <x:c r="V113" s="20"/>
      <x:c r="W113" s="20"/>
      <x:c r="X113" s="20"/>
      <x:c r="Y113" s="20"/>
      <x:c r="Z113" s="20"/>
    </x:row>
    <x:row r="114">
      <x:c r="A114" s="20"/>
      <x:c r="B114" s="20"/>
      <x:c r="C114" s="20"/>
      <x:c r="D114" s="20"/>
      <x:c r="E114" s="20"/>
      <x:c r="F114" s="20"/>
      <x:c r="G114" s="20"/>
      <x:c r="H114" s="20"/>
      <x:c r="I114" s="20"/>
      <x:c r="J114" s="20"/>
      <x:c r="K114" s="20"/>
      <x:c r="L114" s="20"/>
      <x:c r="M114" s="20"/>
      <x:c r="N114" s="20"/>
      <x:c r="O114" s="20"/>
      <x:c r="P114" s="20"/>
      <x:c r="Q114" s="20"/>
      <x:c r="R114" s="20"/>
      <x:c r="S114" s="20"/>
      <x:c r="T114" s="20"/>
      <x:c r="U114" s="20"/>
      <x:c r="V114" s="20"/>
      <x:c r="W114" s="20"/>
      <x:c r="X114" s="20"/>
      <x:c r="Y114" s="20"/>
      <x:c r="Z114" s="20"/>
    </x:row>
    <x:row r="115">
      <x:c r="A115" s="20"/>
      <x:c r="B115" s="20"/>
      <x:c r="C115" s="20"/>
      <x:c r="D115" s="20"/>
      <x:c r="E115" s="20"/>
      <x:c r="F115" s="20"/>
      <x:c r="G115" s="20"/>
      <x:c r="H115" s="20"/>
      <x:c r="I115" s="20"/>
      <x:c r="J115" s="20"/>
      <x:c r="K115" s="20"/>
      <x:c r="L115" s="20"/>
      <x:c r="M115" s="20"/>
      <x:c r="N115" s="20"/>
      <x:c r="O115" s="20"/>
      <x:c r="P115" s="20"/>
      <x:c r="Q115" s="20"/>
      <x:c r="R115" s="20"/>
      <x:c r="S115" s="20"/>
      <x:c r="T115" s="20"/>
      <x:c r="U115" s="20"/>
      <x:c r="V115" s="20"/>
      <x:c r="W115" s="20"/>
      <x:c r="X115" s="20"/>
      <x:c r="Y115" s="20"/>
      <x:c r="Z115" s="20"/>
    </x:row>
    <x:row r="116">
      <x:c r="A116" s="20"/>
      <x:c r="B116" s="20"/>
      <x:c r="C116" s="20"/>
      <x:c r="D116" s="20"/>
      <x:c r="E116" s="20"/>
      <x:c r="F116" s="20"/>
      <x:c r="G116" s="20"/>
      <x:c r="H116" s="20"/>
      <x:c r="I116" s="20"/>
      <x:c r="J116" s="20"/>
      <x:c r="K116" s="20"/>
      <x:c r="L116" s="20"/>
      <x:c r="M116" s="20"/>
      <x:c r="N116" s="20"/>
      <x:c r="O116" s="20"/>
      <x:c r="P116" s="20"/>
      <x:c r="Q116" s="20"/>
      <x:c r="R116" s="20"/>
      <x:c r="S116" s="20"/>
      <x:c r="T116" s="20"/>
      <x:c r="U116" s="20"/>
      <x:c r="V116" s="20"/>
      <x:c r="W116" s="20"/>
      <x:c r="X116" s="20"/>
      <x:c r="Y116" s="20"/>
      <x:c r="Z116" s="20"/>
    </x:row>
    <x:row r="117">
      <x:c r="A117" s="20"/>
      <x:c r="B117" s="20"/>
      <x:c r="C117" s="20"/>
      <x:c r="D117" s="20"/>
      <x:c r="E117" s="20"/>
      <x:c r="F117" s="20"/>
      <x:c r="G117" s="20"/>
      <x:c r="H117" s="20"/>
      <x:c r="I117" s="20"/>
      <x:c r="J117" s="20"/>
      <x:c r="K117" s="20"/>
      <x:c r="L117" s="20"/>
      <x:c r="M117" s="20"/>
      <x:c r="N117" s="20"/>
      <x:c r="O117" s="20"/>
      <x:c r="P117" s="20"/>
      <x:c r="Q117" s="20"/>
      <x:c r="R117" s="20"/>
      <x:c r="S117" s="20"/>
      <x:c r="T117" s="20"/>
      <x:c r="U117" s="20"/>
      <x:c r="V117" s="20"/>
      <x:c r="W117" s="20"/>
      <x:c r="X117" s="20"/>
      <x:c r="Y117" s="20"/>
      <x:c r="Z117" s="20"/>
    </x:row>
    <x:row r="118">
      <x:c r="A118" s="20"/>
      <x:c r="B118" s="20"/>
      <x:c r="C118" s="20"/>
      <x:c r="D118" s="20"/>
      <x:c r="E118" s="20"/>
      <x:c r="F118" s="20"/>
      <x:c r="G118" s="20"/>
      <x:c r="H118" s="20"/>
      <x:c r="I118" s="20"/>
      <x:c r="J118" s="20"/>
      <x:c r="K118" s="20"/>
      <x:c r="L118" s="20"/>
      <x:c r="M118" s="20"/>
      <x:c r="N118" s="20"/>
      <x:c r="O118" s="20"/>
      <x:c r="P118" s="20"/>
      <x:c r="Q118" s="20"/>
      <x:c r="R118" s="20"/>
      <x:c r="S118" s="20"/>
      <x:c r="T118" s="20"/>
      <x:c r="U118" s="20"/>
      <x:c r="V118" s="20"/>
      <x:c r="W118" s="20"/>
      <x:c r="X118" s="20"/>
      <x:c r="Y118" s="20"/>
      <x:c r="Z118" s="20"/>
    </x:row>
    <x:row r="119">
      <x:c r="A119" s="20"/>
      <x:c r="B119" s="20"/>
      <x:c r="C119" s="20"/>
      <x:c r="D119" s="20"/>
      <x:c r="E119" s="20"/>
      <x:c r="F119" s="20"/>
      <x:c r="G119" s="20"/>
      <x:c r="H119" s="20"/>
      <x:c r="I119" s="20"/>
      <x:c r="J119" s="20"/>
      <x:c r="K119" s="20"/>
      <x:c r="L119" s="20"/>
      <x:c r="M119" s="20"/>
      <x:c r="N119" s="20"/>
      <x:c r="O119" s="20"/>
      <x:c r="P119" s="20"/>
      <x:c r="Q119" s="20"/>
      <x:c r="R119" s="20"/>
      <x:c r="S119" s="20"/>
      <x:c r="T119" s="20"/>
      <x:c r="U119" s="20"/>
      <x:c r="V119" s="20"/>
      <x:c r="W119" s="20"/>
      <x:c r="X119" s="20"/>
      <x:c r="Y119" s="20"/>
      <x:c r="Z119" s="20"/>
    </x:row>
    <x:row r="120">
      <x:c r="A120" s="20"/>
      <x:c r="B120" s="20"/>
      <x:c r="C120" s="20"/>
      <x:c r="D120" s="20"/>
      <x:c r="E120" s="20"/>
      <x:c r="F120" s="20"/>
      <x:c r="G120" s="20"/>
      <x:c r="H120" s="20"/>
      <x:c r="I120" s="20"/>
      <x:c r="J120" s="20"/>
      <x:c r="K120" s="20"/>
      <x:c r="L120" s="20"/>
      <x:c r="M120" s="20"/>
      <x:c r="N120" s="20"/>
      <x:c r="O120" s="20"/>
      <x:c r="P120" s="20"/>
      <x:c r="Q120" s="20"/>
      <x:c r="R120" s="20"/>
      <x:c r="S120" s="20"/>
      <x:c r="T120" s="20"/>
      <x:c r="U120" s="20"/>
      <x:c r="V120" s="20"/>
      <x:c r="W120" s="20"/>
      <x:c r="X120" s="20"/>
      <x:c r="Y120" s="20"/>
      <x:c r="Z120" s="20"/>
    </x:row>
    <x:row r="121">
      <x:c r="A121" s="20"/>
      <x:c r="B121" s="20"/>
      <x:c r="C121" s="20"/>
      <x:c r="D121" s="20"/>
      <x:c r="E121" s="20"/>
      <x:c r="F121" s="20"/>
      <x:c r="G121" s="20"/>
      <x:c r="H121" s="20"/>
      <x:c r="I121" s="20"/>
      <x:c r="J121" s="20"/>
      <x:c r="K121" s="20"/>
      <x:c r="L121" s="20"/>
      <x:c r="M121" s="20"/>
      <x:c r="N121" s="20"/>
      <x:c r="O121" s="20"/>
      <x:c r="P121" s="20"/>
      <x:c r="Q121" s="20"/>
      <x:c r="R121" s="20"/>
      <x:c r="S121" s="20"/>
      <x:c r="T121" s="20"/>
      <x:c r="U121" s="20"/>
      <x:c r="V121" s="20"/>
      <x:c r="W121" s="20"/>
      <x:c r="X121" s="20"/>
      <x:c r="Y121" s="20"/>
      <x:c r="Z121" s="20"/>
    </x:row>
    <x:row r="122">
      <x:c r="A122" s="20"/>
      <x:c r="B122" s="20"/>
      <x:c r="C122" s="20"/>
      <x:c r="D122" s="20"/>
      <x:c r="E122" s="20"/>
      <x:c r="F122" s="20"/>
      <x:c r="G122" s="20"/>
      <x:c r="H122" s="20"/>
      <x:c r="I122" s="20"/>
      <x:c r="J122" s="20"/>
      <x:c r="K122" s="20"/>
      <x:c r="L122" s="20"/>
      <x:c r="M122" s="20"/>
      <x:c r="N122" s="20"/>
      <x:c r="O122" s="20"/>
      <x:c r="P122" s="20"/>
      <x:c r="Q122" s="20"/>
      <x:c r="R122" s="20"/>
      <x:c r="S122" s="20"/>
      <x:c r="T122" s="20"/>
      <x:c r="U122" s="20"/>
      <x:c r="V122" s="20"/>
      <x:c r="W122" s="20"/>
      <x:c r="X122" s="20"/>
      <x:c r="Y122" s="20"/>
      <x:c r="Z122" s="20"/>
    </x:row>
    <x:row r="123">
      <x:c r="A123" s="20"/>
      <x:c r="B123" s="20"/>
      <x:c r="C123" s="20"/>
      <x:c r="D123" s="20"/>
      <x:c r="E123" s="20"/>
      <x:c r="F123" s="20"/>
      <x:c r="G123" s="20"/>
      <x:c r="H123" s="20"/>
      <x:c r="I123" s="20"/>
      <x:c r="J123" s="20"/>
      <x:c r="K123" s="20"/>
      <x:c r="L123" s="20"/>
      <x:c r="M123" s="20"/>
      <x:c r="N123" s="20"/>
      <x:c r="O123" s="20"/>
      <x:c r="P123" s="20"/>
      <x:c r="Q123" s="20"/>
      <x:c r="R123" s="20"/>
      <x:c r="S123" s="20"/>
      <x:c r="T123" s="20"/>
      <x:c r="U123" s="20"/>
      <x:c r="V123" s="20"/>
      <x:c r="W123" s="20"/>
      <x:c r="X123" s="20"/>
      <x:c r="Y123" s="20"/>
      <x:c r="Z123" s="20"/>
    </x:row>
    <x:row r="124">
      <x:c r="A124" s="20"/>
      <x:c r="B124" s="20"/>
      <x:c r="C124" s="20"/>
      <x:c r="D124" s="20"/>
      <x:c r="E124" s="20"/>
      <x:c r="F124" s="20"/>
      <x:c r="G124" s="20"/>
      <x:c r="H124" s="20"/>
      <x:c r="I124" s="20"/>
      <x:c r="J124" s="20"/>
      <x:c r="K124" s="20"/>
      <x:c r="L124" s="20"/>
      <x:c r="M124" s="20"/>
      <x:c r="N124" s="20"/>
      <x:c r="O124" s="20"/>
      <x:c r="P124" s="20"/>
      <x:c r="Q124" s="20"/>
      <x:c r="R124" s="20"/>
      <x:c r="S124" s="20"/>
      <x:c r="T124" s="20"/>
      <x:c r="U124" s="20"/>
      <x:c r="V124" s="20"/>
      <x:c r="W124" s="20"/>
      <x:c r="X124" s="20"/>
      <x:c r="Y124" s="20"/>
      <x:c r="Z124" s="20"/>
    </x:row>
    <x:row r="125">
      <x:c r="A125" s="20"/>
      <x:c r="B125" s="20"/>
      <x:c r="C125" s="20"/>
      <x:c r="D125" s="20"/>
      <x:c r="E125" s="20"/>
      <x:c r="F125" s="20"/>
      <x:c r="G125" s="20"/>
      <x:c r="H125" s="20"/>
      <x:c r="I125" s="20"/>
      <x:c r="J125" s="20"/>
      <x:c r="K125" s="20"/>
      <x:c r="L125" s="20"/>
      <x:c r="M125" s="20"/>
      <x:c r="N125" s="20"/>
      <x:c r="O125" s="20"/>
      <x:c r="P125" s="20"/>
      <x:c r="Q125" s="20"/>
      <x:c r="R125" s="20"/>
      <x:c r="S125" s="20"/>
      <x:c r="T125" s="20"/>
      <x:c r="U125" s="20"/>
      <x:c r="V125" s="20"/>
      <x:c r="W125" s="20"/>
      <x:c r="X125" s="20"/>
      <x:c r="Y125" s="20"/>
      <x:c r="Z125" s="20"/>
    </x:row>
    <x:row r="126">
      <x:c r="A126" s="20"/>
      <x:c r="B126" s="20"/>
      <x:c r="C126" s="20"/>
      <x:c r="D126" s="20"/>
      <x:c r="E126" s="20"/>
      <x:c r="F126" s="20"/>
      <x:c r="G126" s="20"/>
      <x:c r="H126" s="20"/>
      <x:c r="I126" s="20"/>
      <x:c r="J126" s="20"/>
      <x:c r="K126" s="20"/>
      <x:c r="L126" s="20"/>
      <x:c r="M126" s="20"/>
      <x:c r="N126" s="20"/>
      <x:c r="O126" s="20"/>
      <x:c r="P126" s="20"/>
      <x:c r="Q126" s="20"/>
      <x:c r="R126" s="20"/>
      <x:c r="S126" s="20"/>
      <x:c r="T126" s="20"/>
      <x:c r="U126" s="20"/>
      <x:c r="V126" s="20"/>
      <x:c r="W126" s="20"/>
      <x:c r="X126" s="20"/>
      <x:c r="Y126" s="20"/>
      <x:c r="Z126" s="20"/>
    </x:row>
    <x:row r="127">
      <x:c r="A127" s="20"/>
      <x:c r="B127" s="20"/>
      <x:c r="C127" s="20"/>
      <x:c r="D127" s="20"/>
      <x:c r="E127" s="20"/>
      <x:c r="F127" s="20"/>
      <x:c r="G127" s="20"/>
      <x:c r="H127" s="20"/>
      <x:c r="I127" s="20"/>
      <x:c r="J127" s="20"/>
      <x:c r="K127" s="20"/>
      <x:c r="L127" s="20"/>
      <x:c r="M127" s="20"/>
      <x:c r="N127" s="20"/>
      <x:c r="O127" s="20"/>
      <x:c r="P127" s="20"/>
      <x:c r="Q127" s="20"/>
      <x:c r="R127" s="20"/>
      <x:c r="S127" s="20"/>
      <x:c r="T127" s="20"/>
      <x:c r="U127" s="20"/>
      <x:c r="V127" s="20"/>
      <x:c r="W127" s="20"/>
      <x:c r="X127" s="20"/>
      <x:c r="Y127" s="20"/>
      <x:c r="Z127" s="20"/>
    </x:row>
    <x:row r="128">
      <x:c r="A128" s="20"/>
      <x:c r="B128" s="20"/>
      <x:c r="C128" s="20"/>
      <x:c r="D128" s="20"/>
      <x:c r="E128" s="20"/>
      <x:c r="F128" s="20"/>
      <x:c r="G128" s="20"/>
      <x:c r="H128" s="20"/>
      <x:c r="I128" s="20"/>
      <x:c r="J128" s="20"/>
      <x:c r="K128" s="20"/>
      <x:c r="L128" s="20"/>
      <x:c r="M128" s="20"/>
      <x:c r="N128" s="20"/>
      <x:c r="O128" s="20"/>
      <x:c r="P128" s="20"/>
      <x:c r="Q128" s="20"/>
      <x:c r="R128" s="20"/>
      <x:c r="S128" s="20"/>
      <x:c r="T128" s="20"/>
      <x:c r="U128" s="20"/>
      <x:c r="V128" s="20"/>
      <x:c r="W128" s="20"/>
      <x:c r="X128" s="20"/>
      <x:c r="Y128" s="20"/>
      <x:c r="Z128" s="20"/>
    </x:row>
    <x:row r="129">
      <x:c r="A129" s="20"/>
      <x:c r="B129" s="20"/>
      <x:c r="C129" s="20"/>
      <x:c r="D129" s="20"/>
      <x:c r="E129" s="20"/>
      <x:c r="F129" s="20"/>
      <x:c r="G129" s="20"/>
      <x:c r="H129" s="20"/>
      <x:c r="I129" s="20"/>
      <x:c r="J129" s="20"/>
      <x:c r="K129" s="20"/>
      <x:c r="L129" s="20"/>
      <x:c r="M129" s="20"/>
      <x:c r="N129" s="20"/>
      <x:c r="O129" s="20"/>
      <x:c r="P129" s="20"/>
      <x:c r="Q129" s="20"/>
      <x:c r="R129" s="20"/>
      <x:c r="S129" s="20"/>
      <x:c r="T129" s="20"/>
      <x:c r="U129" s="20"/>
      <x:c r="V129" s="20"/>
      <x:c r="W129" s="20"/>
      <x:c r="X129" s="20"/>
      <x:c r="Y129" s="20"/>
      <x:c r="Z129" s="20"/>
    </x:row>
    <x:row r="130">
      <x:c r="A130" s="20"/>
      <x:c r="B130" s="20"/>
      <x:c r="C130" s="20"/>
      <x:c r="D130" s="20"/>
      <x:c r="E130" s="20"/>
      <x:c r="F130" s="20"/>
      <x:c r="G130" s="20"/>
      <x:c r="H130" s="20"/>
      <x:c r="I130" s="20"/>
      <x:c r="J130" s="20"/>
      <x:c r="K130" s="20"/>
      <x:c r="L130" s="20"/>
      <x:c r="M130" s="20"/>
      <x:c r="N130" s="20"/>
      <x:c r="O130" s="20"/>
      <x:c r="P130" s="20"/>
      <x:c r="Q130" s="20"/>
      <x:c r="R130" s="20"/>
      <x:c r="S130" s="20"/>
      <x:c r="T130" s="20"/>
      <x:c r="U130" s="20"/>
      <x:c r="V130" s="20"/>
      <x:c r="W130" s="20"/>
      <x:c r="X130" s="20"/>
      <x:c r="Y130" s="20"/>
      <x:c r="Z130" s="20"/>
    </x:row>
    <x:row r="131">
      <x:c r="A131" s="20"/>
      <x:c r="B131" s="20"/>
      <x:c r="C131" s="20"/>
      <x:c r="D131" s="20"/>
      <x:c r="E131" s="20"/>
      <x:c r="F131" s="20"/>
      <x:c r="G131" s="20"/>
      <x:c r="H131" s="20"/>
      <x:c r="I131" s="20"/>
      <x:c r="J131" s="20"/>
      <x:c r="K131" s="20"/>
      <x:c r="L131" s="20"/>
      <x:c r="M131" s="20"/>
      <x:c r="N131" s="20"/>
      <x:c r="O131" s="20"/>
      <x:c r="P131" s="20"/>
      <x:c r="Q131" s="20"/>
      <x:c r="R131" s="20"/>
      <x:c r="S131" s="20"/>
      <x:c r="T131" s="20"/>
      <x:c r="U131" s="20"/>
      <x:c r="V131" s="20"/>
      <x:c r="W131" s="20"/>
      <x:c r="X131" s="20"/>
      <x:c r="Y131" s="20"/>
      <x:c r="Z131" s="20"/>
    </x:row>
    <x:row r="132">
      <x:c r="A132" s="20"/>
      <x:c r="B132" s="20"/>
      <x:c r="C132" s="20"/>
      <x:c r="D132" s="20"/>
      <x:c r="E132" s="20"/>
      <x:c r="F132" s="20"/>
      <x:c r="G132" s="20"/>
      <x:c r="H132" s="20"/>
      <x:c r="I132" s="20"/>
      <x:c r="J132" s="20"/>
      <x:c r="K132" s="20"/>
      <x:c r="L132" s="20"/>
      <x:c r="M132" s="20"/>
      <x:c r="N132" s="20"/>
      <x:c r="O132" s="20"/>
      <x:c r="P132" s="20"/>
      <x:c r="Q132" s="20"/>
      <x:c r="R132" s="20"/>
      <x:c r="S132" s="20"/>
      <x:c r="T132" s="20"/>
      <x:c r="U132" s="20"/>
      <x:c r="V132" s="20"/>
      <x:c r="W132" s="20"/>
      <x:c r="X132" s="20"/>
      <x:c r="Y132" s="20"/>
      <x:c r="Z132" s="20"/>
    </x:row>
    <x:row r="133">
      <x:c r="A133" s="20"/>
      <x:c r="B133" s="20"/>
      <x:c r="C133" s="20"/>
      <x:c r="D133" s="20"/>
      <x:c r="E133" s="20"/>
      <x:c r="F133" s="20"/>
      <x:c r="G133" s="20"/>
      <x:c r="H133" s="20"/>
      <x:c r="I133" s="20"/>
      <x:c r="J133" s="20"/>
      <x:c r="K133" s="20"/>
      <x:c r="L133" s="20"/>
      <x:c r="M133" s="20"/>
      <x:c r="N133" s="20"/>
      <x:c r="O133" s="20"/>
      <x:c r="P133" s="20"/>
      <x:c r="Q133" s="20"/>
      <x:c r="R133" s="20"/>
      <x:c r="S133" s="20"/>
      <x:c r="T133" s="20"/>
      <x:c r="U133" s="20"/>
      <x:c r="V133" s="20"/>
      <x:c r="W133" s="20"/>
      <x:c r="X133" s="20"/>
      <x:c r="Y133" s="20"/>
      <x:c r="Z133" s="20"/>
    </x:row>
    <x:row r="134">
      <x:c r="A134" s="20"/>
      <x:c r="B134" s="20"/>
      <x:c r="C134" s="20"/>
      <x:c r="D134" s="20"/>
      <x:c r="E134" s="20"/>
      <x:c r="F134" s="20"/>
      <x:c r="G134" s="20"/>
      <x:c r="H134" s="20"/>
      <x:c r="I134" s="20"/>
      <x:c r="J134" s="20"/>
      <x:c r="K134" s="20"/>
      <x:c r="L134" s="20"/>
      <x:c r="M134" s="20"/>
      <x:c r="N134" s="20"/>
      <x:c r="O134" s="20"/>
      <x:c r="P134" s="20"/>
      <x:c r="Q134" s="20"/>
      <x:c r="R134" s="20"/>
      <x:c r="S134" s="20"/>
      <x:c r="T134" s="20"/>
      <x:c r="U134" s="20"/>
      <x:c r="V134" s="20"/>
      <x:c r="W134" s="20"/>
      <x:c r="X134" s="20"/>
      <x:c r="Y134" s="20"/>
      <x:c r="Z134" s="20"/>
    </x:row>
    <x:row r="135">
      <x:c r="A135" s="20"/>
      <x:c r="B135" s="20"/>
      <x:c r="C135" s="20"/>
      <x:c r="D135" s="20"/>
      <x:c r="E135" s="20"/>
      <x:c r="F135" s="20"/>
      <x:c r="G135" s="20"/>
      <x:c r="H135" s="20"/>
      <x:c r="I135" s="20"/>
      <x:c r="J135" s="20"/>
      <x:c r="K135" s="20"/>
      <x:c r="L135" s="20"/>
      <x:c r="M135" s="20"/>
      <x:c r="N135" s="20"/>
      <x:c r="O135" s="20"/>
      <x:c r="P135" s="20"/>
      <x:c r="Q135" s="20"/>
      <x:c r="R135" s="20"/>
      <x:c r="S135" s="20"/>
      <x:c r="T135" s="20"/>
      <x:c r="U135" s="20"/>
      <x:c r="V135" s="20"/>
      <x:c r="W135" s="20"/>
      <x:c r="X135" s="20"/>
      <x:c r="Y135" s="20"/>
      <x:c r="Z135" s="20"/>
    </x:row>
    <x:row r="136">
      <x:c r="A136" s="20"/>
      <x:c r="B136" s="20"/>
      <x:c r="C136" s="20"/>
      <x:c r="D136" s="20"/>
      <x:c r="E136" s="20"/>
      <x:c r="F136" s="20"/>
      <x:c r="G136" s="20"/>
      <x:c r="H136" s="20"/>
      <x:c r="I136" s="20"/>
      <x:c r="J136" s="20"/>
      <x:c r="K136" s="20"/>
      <x:c r="L136" s="20"/>
      <x:c r="M136" s="20"/>
      <x:c r="N136" s="20"/>
      <x:c r="O136" s="20"/>
      <x:c r="P136" s="20"/>
      <x:c r="Q136" s="20"/>
      <x:c r="R136" s="20"/>
      <x:c r="S136" s="20"/>
      <x:c r="T136" s="20"/>
      <x:c r="U136" s="20"/>
      <x:c r="V136" s="20"/>
      <x:c r="W136" s="20"/>
      <x:c r="X136" s="20"/>
      <x:c r="Y136" s="20"/>
      <x:c r="Z136" s="20"/>
    </x:row>
    <x:row r="137">
      <x:c r="A137" s="20"/>
      <x:c r="B137" s="20"/>
      <x:c r="C137" s="20"/>
      <x:c r="D137" s="20"/>
      <x:c r="E137" s="20"/>
      <x:c r="F137" s="20"/>
      <x:c r="G137" s="20"/>
      <x:c r="H137" s="20"/>
      <x:c r="I137" s="20"/>
      <x:c r="J137" s="20"/>
      <x:c r="K137" s="20"/>
      <x:c r="L137" s="20"/>
      <x:c r="M137" s="20"/>
      <x:c r="N137" s="20"/>
      <x:c r="O137" s="20"/>
      <x:c r="P137" s="20"/>
      <x:c r="Q137" s="20"/>
      <x:c r="R137" s="20"/>
      <x:c r="S137" s="20"/>
      <x:c r="T137" s="20"/>
      <x:c r="U137" s="20"/>
      <x:c r="V137" s="20"/>
      <x:c r="W137" s="20"/>
      <x:c r="X137" s="20"/>
      <x:c r="Y137" s="20"/>
      <x:c r="Z137" s="20"/>
    </x:row>
    <x:row r="138">
      <x:c r="A138" s="20"/>
      <x:c r="B138" s="20"/>
      <x:c r="C138" s="20"/>
      <x:c r="D138" s="20"/>
      <x:c r="E138" s="20"/>
      <x:c r="F138" s="20"/>
      <x:c r="G138" s="20"/>
      <x:c r="H138" s="20"/>
      <x:c r="I138" s="20"/>
      <x:c r="J138" s="20"/>
      <x:c r="K138" s="20"/>
      <x:c r="L138" s="20"/>
      <x:c r="M138" s="20"/>
      <x:c r="N138" s="20"/>
      <x:c r="O138" s="20"/>
      <x:c r="P138" s="20"/>
      <x:c r="Q138" s="20"/>
      <x:c r="R138" s="20"/>
      <x:c r="S138" s="20"/>
      <x:c r="T138" s="20"/>
      <x:c r="U138" s="20"/>
      <x:c r="V138" s="20"/>
      <x:c r="W138" s="20"/>
      <x:c r="X138" s="20"/>
      <x:c r="Y138" s="20"/>
      <x:c r="Z138" s="20"/>
    </x:row>
    <x:row r="139">
      <x:c r="A139" s="20"/>
      <x:c r="B139" s="20"/>
      <x:c r="C139" s="20"/>
      <x:c r="D139" s="20"/>
      <x:c r="E139" s="20"/>
      <x:c r="F139" s="20"/>
      <x:c r="G139" s="20"/>
      <x:c r="H139" s="20"/>
      <x:c r="I139" s="20"/>
      <x:c r="J139" s="20"/>
      <x:c r="K139" s="20"/>
      <x:c r="L139" s="20"/>
      <x:c r="M139" s="20"/>
      <x:c r="N139" s="20"/>
      <x:c r="O139" s="20"/>
      <x:c r="P139" s="20"/>
      <x:c r="Q139" s="20"/>
      <x:c r="R139" s="20"/>
      <x:c r="S139" s="20"/>
      <x:c r="T139" s="20"/>
      <x:c r="U139" s="20"/>
      <x:c r="V139" s="20"/>
      <x:c r="W139" s="20"/>
      <x:c r="X139" s="20"/>
      <x:c r="Y139" s="20"/>
      <x:c r="Z139" s="20"/>
    </x:row>
    <x:row r="140">
      <x:c r="A140" s="20"/>
      <x:c r="B140" s="20"/>
      <x:c r="C140" s="20"/>
      <x:c r="D140" s="20"/>
      <x:c r="E140" s="20"/>
      <x:c r="F140" s="20"/>
      <x:c r="G140" s="20"/>
      <x:c r="H140" s="20"/>
      <x:c r="I140" s="20"/>
      <x:c r="J140" s="20"/>
      <x:c r="K140" s="20"/>
      <x:c r="L140" s="20"/>
      <x:c r="M140" s="20"/>
      <x:c r="N140" s="20"/>
      <x:c r="O140" s="20"/>
      <x:c r="P140" s="20"/>
      <x:c r="Q140" s="20"/>
      <x:c r="R140" s="20"/>
      <x:c r="S140" s="20"/>
      <x:c r="T140" s="20"/>
      <x:c r="U140" s="20"/>
      <x:c r="V140" s="20"/>
      <x:c r="W140" s="20"/>
      <x:c r="X140" s="20"/>
      <x:c r="Y140" s="20"/>
      <x:c r="Z140" s="20"/>
    </x:row>
    <x:row r="141">
      <x:c r="A141" s="20"/>
      <x:c r="B141" s="20"/>
      <x:c r="C141" s="20"/>
      <x:c r="D141" s="20"/>
      <x:c r="E141" s="20"/>
      <x:c r="F141" s="20"/>
      <x:c r="G141" s="20"/>
      <x:c r="H141" s="20"/>
      <x:c r="I141" s="20"/>
      <x:c r="J141" s="20"/>
      <x:c r="K141" s="20"/>
      <x:c r="L141" s="20"/>
      <x:c r="M141" s="20"/>
      <x:c r="N141" s="20"/>
      <x:c r="O141" s="20"/>
      <x:c r="P141" s="20"/>
      <x:c r="Q141" s="20"/>
      <x:c r="R141" s="20"/>
      <x:c r="S141" s="20"/>
      <x:c r="T141" s="20"/>
      <x:c r="U141" s="20"/>
      <x:c r="V141" s="20"/>
      <x:c r="W141" s="20"/>
      <x:c r="X141" s="20"/>
      <x:c r="Y141" s="20"/>
      <x:c r="Z141" s="20"/>
    </x:row>
    <x:row r="142">
      <x:c r="A142" s="20"/>
      <x:c r="B142" s="20"/>
      <x:c r="C142" s="20"/>
      <x:c r="D142" s="20"/>
      <x:c r="E142" s="20"/>
      <x:c r="F142" s="20"/>
      <x:c r="G142" s="20"/>
      <x:c r="H142" s="20"/>
      <x:c r="I142" s="20"/>
      <x:c r="J142" s="20"/>
      <x:c r="K142" s="20"/>
      <x:c r="L142" s="20"/>
      <x:c r="M142" s="20"/>
      <x:c r="N142" s="20"/>
      <x:c r="O142" s="20"/>
      <x:c r="P142" s="20"/>
      <x:c r="Q142" s="20"/>
      <x:c r="R142" s="20"/>
      <x:c r="S142" s="20"/>
      <x:c r="T142" s="20"/>
      <x:c r="U142" s="20"/>
      <x:c r="V142" s="20"/>
      <x:c r="W142" s="20"/>
      <x:c r="X142" s="20"/>
      <x:c r="Y142" s="20"/>
      <x:c r="Z142" s="20"/>
    </x:row>
    <x:row r="143">
      <x:c r="A143" s="20"/>
      <x:c r="B143" s="20"/>
      <x:c r="C143" s="20"/>
      <x:c r="D143" s="20"/>
      <x:c r="E143" s="20"/>
      <x:c r="F143" s="20"/>
      <x:c r="G143" s="20"/>
      <x:c r="H143" s="20"/>
      <x:c r="I143" s="20"/>
      <x:c r="J143" s="20"/>
      <x:c r="K143" s="20"/>
      <x:c r="L143" s="20"/>
      <x:c r="M143" s="20"/>
      <x:c r="N143" s="20"/>
      <x:c r="O143" s="20"/>
      <x:c r="P143" s="20"/>
      <x:c r="Q143" s="20"/>
      <x:c r="R143" s="20"/>
      <x:c r="S143" s="20"/>
      <x:c r="T143" s="20"/>
      <x:c r="U143" s="20"/>
      <x:c r="V143" s="20"/>
      <x:c r="W143" s="20"/>
      <x:c r="X143" s="20"/>
      <x:c r="Y143" s="20"/>
      <x:c r="Z143" s="20"/>
    </x:row>
    <x:row r="144">
      <x:c r="A144" s="20"/>
      <x:c r="B144" s="20"/>
      <x:c r="C144" s="20"/>
      <x:c r="D144" s="20"/>
      <x:c r="E144" s="20"/>
      <x:c r="F144" s="20"/>
      <x:c r="G144" s="20"/>
      <x:c r="H144" s="20"/>
      <x:c r="I144" s="20"/>
      <x:c r="J144" s="20"/>
      <x:c r="K144" s="20"/>
      <x:c r="L144" s="20"/>
      <x:c r="M144" s="20"/>
      <x:c r="N144" s="20"/>
      <x:c r="O144" s="20"/>
      <x:c r="P144" s="20"/>
      <x:c r="Q144" s="20"/>
      <x:c r="R144" s="20"/>
      <x:c r="S144" s="20"/>
      <x:c r="T144" s="20"/>
      <x:c r="U144" s="20"/>
      <x:c r="V144" s="20"/>
      <x:c r="W144" s="20"/>
      <x:c r="X144" s="20"/>
      <x:c r="Y144" s="20"/>
      <x:c r="Z144" s="20"/>
    </x:row>
    <x:row r="145">
      <x:c r="A145" s="20"/>
      <x:c r="B145" s="20"/>
      <x:c r="C145" s="20"/>
      <x:c r="D145" s="20"/>
      <x:c r="E145" s="20"/>
      <x:c r="F145" s="20"/>
      <x:c r="G145" s="20"/>
      <x:c r="H145" s="20"/>
      <x:c r="I145" s="20"/>
      <x:c r="J145" s="20"/>
      <x:c r="K145" s="20"/>
      <x:c r="L145" s="20"/>
      <x:c r="M145" s="20"/>
      <x:c r="N145" s="20"/>
      <x:c r="O145" s="20"/>
      <x:c r="P145" s="20"/>
      <x:c r="Q145" s="20"/>
      <x:c r="R145" s="20"/>
      <x:c r="S145" s="20"/>
      <x:c r="T145" s="20"/>
      <x:c r="U145" s="20"/>
      <x:c r="V145" s="20"/>
      <x:c r="W145" s="20"/>
      <x:c r="X145" s="20"/>
      <x:c r="Y145" s="20"/>
      <x:c r="Z145" s="20"/>
    </x:row>
    <x:row r="146">
      <x:c r="A146" s="20"/>
      <x:c r="B146" s="20"/>
      <x:c r="C146" s="20"/>
      <x:c r="D146" s="20"/>
      <x:c r="E146" s="20"/>
      <x:c r="F146" s="20"/>
      <x:c r="G146" s="20"/>
      <x:c r="H146" s="20"/>
      <x:c r="I146" s="20"/>
      <x:c r="J146" s="20"/>
      <x:c r="K146" s="20"/>
      <x:c r="L146" s="20"/>
      <x:c r="M146" s="20"/>
      <x:c r="N146" s="20"/>
      <x:c r="O146" s="20"/>
      <x:c r="P146" s="20"/>
      <x:c r="Q146" s="20"/>
      <x:c r="R146" s="20"/>
      <x:c r="S146" s="20"/>
      <x:c r="T146" s="20"/>
      <x:c r="U146" s="20"/>
      <x:c r="V146" s="20"/>
      <x:c r="W146" s="20"/>
      <x:c r="X146" s="20"/>
      <x:c r="Y146" s="20"/>
      <x:c r="Z146" s="20"/>
    </x:row>
    <x:row r="147">
      <x:c r="A147" s="20"/>
      <x:c r="B147" s="20"/>
      <x:c r="C147" s="20"/>
      <x:c r="D147" s="20"/>
      <x:c r="E147" s="20"/>
      <x:c r="F147" s="20"/>
      <x:c r="G147" s="20"/>
      <x:c r="H147" s="20"/>
      <x:c r="I147" s="20"/>
      <x:c r="J147" s="20"/>
      <x:c r="K147" s="20"/>
      <x:c r="L147" s="20"/>
      <x:c r="M147" s="20"/>
      <x:c r="N147" s="20"/>
      <x:c r="O147" s="20"/>
      <x:c r="P147" s="20"/>
      <x:c r="Q147" s="20"/>
      <x:c r="R147" s="20"/>
      <x:c r="S147" s="20"/>
      <x:c r="T147" s="20"/>
      <x:c r="U147" s="20"/>
      <x:c r="V147" s="20"/>
      <x:c r="W147" s="20"/>
      <x:c r="X147" s="20"/>
      <x:c r="Y147" s="20"/>
      <x:c r="Z147" s="20"/>
    </x:row>
    <x:row r="148">
      <x:c r="A148" s="20"/>
      <x:c r="B148" s="20"/>
      <x:c r="C148" s="20"/>
      <x:c r="D148" s="20"/>
      <x:c r="E148" s="20"/>
      <x:c r="F148" s="20"/>
      <x:c r="G148" s="20"/>
      <x:c r="H148" s="20"/>
      <x:c r="I148" s="20"/>
      <x:c r="J148" s="20"/>
      <x:c r="K148" s="20"/>
      <x:c r="L148" s="20"/>
      <x:c r="M148" s="20"/>
      <x:c r="N148" s="20"/>
      <x:c r="O148" s="20"/>
      <x:c r="P148" s="20"/>
      <x:c r="Q148" s="20"/>
      <x:c r="R148" s="20"/>
      <x:c r="S148" s="20"/>
      <x:c r="T148" s="20"/>
      <x:c r="U148" s="20"/>
      <x:c r="V148" s="20"/>
      <x:c r="W148" s="20"/>
      <x:c r="X148" s="20"/>
      <x:c r="Y148" s="20"/>
      <x:c r="Z148" s="20"/>
    </x:row>
    <x:row r="149">
      <x:c r="A149" s="20"/>
      <x:c r="B149" s="20"/>
      <x:c r="C149" s="20"/>
      <x:c r="D149" s="20"/>
      <x:c r="E149" s="20"/>
      <x:c r="F149" s="20"/>
      <x:c r="G149" s="20"/>
      <x:c r="H149" s="20"/>
      <x:c r="I149" s="20"/>
      <x:c r="J149" s="20"/>
      <x:c r="K149" s="20"/>
      <x:c r="L149" s="20"/>
      <x:c r="M149" s="20"/>
      <x:c r="N149" s="20"/>
      <x:c r="O149" s="20"/>
      <x:c r="P149" s="20"/>
      <x:c r="Q149" s="20"/>
      <x:c r="R149" s="20"/>
      <x:c r="S149" s="20"/>
      <x:c r="T149" s="20"/>
      <x:c r="U149" s="20"/>
      <x:c r="V149" s="20"/>
      <x:c r="W149" s="20"/>
      <x:c r="X149" s="20"/>
      <x:c r="Y149" s="20"/>
      <x:c r="Z149" s="20"/>
    </x:row>
    <x:row r="150">
      <x:c r="A150" s="20"/>
      <x:c r="B150" s="20"/>
      <x:c r="C150" s="20"/>
      <x:c r="D150" s="20"/>
      <x:c r="E150" s="20"/>
      <x:c r="F150" s="20"/>
      <x:c r="G150" s="20"/>
      <x:c r="H150" s="20"/>
      <x:c r="I150" s="20"/>
      <x:c r="J150" s="20"/>
      <x:c r="K150" s="20"/>
      <x:c r="L150" s="20"/>
      <x:c r="M150" s="20"/>
      <x:c r="N150" s="20"/>
      <x:c r="O150" s="20"/>
      <x:c r="P150" s="20"/>
      <x:c r="Q150" s="20"/>
      <x:c r="R150" s="20"/>
      <x:c r="S150" s="20"/>
      <x:c r="T150" s="20"/>
      <x:c r="U150" s="20"/>
      <x:c r="V150" s="20"/>
      <x:c r="W150" s="20"/>
      <x:c r="X150" s="20"/>
      <x:c r="Y150" s="20"/>
      <x:c r="Z150" s="20"/>
    </x:row>
    <x:row r="151">
      <x:c r="A151" s="20"/>
      <x:c r="B151" s="20"/>
      <x:c r="C151" s="20"/>
      <x:c r="D151" s="20"/>
      <x:c r="E151" s="20"/>
      <x:c r="F151" s="20"/>
      <x:c r="G151" s="20"/>
      <x:c r="H151" s="20"/>
      <x:c r="I151" s="20"/>
      <x:c r="J151" s="20"/>
      <x:c r="K151" s="20"/>
      <x:c r="L151" s="20"/>
      <x:c r="M151" s="20"/>
      <x:c r="N151" s="20"/>
      <x:c r="O151" s="20"/>
      <x:c r="P151" s="20"/>
      <x:c r="Q151" s="20"/>
      <x:c r="R151" s="20"/>
      <x:c r="S151" s="20"/>
      <x:c r="T151" s="20"/>
      <x:c r="U151" s="20"/>
      <x:c r="V151" s="20"/>
      <x:c r="W151" s="20"/>
      <x:c r="X151" s="20"/>
      <x:c r="Y151" s="20"/>
      <x:c r="Z151" s="20"/>
    </x:row>
    <x:row r="152">
      <x:c r="A152" s="20"/>
      <x:c r="B152" s="20"/>
      <x:c r="C152" s="20"/>
      <x:c r="D152" s="20"/>
      <x:c r="E152" s="20"/>
      <x:c r="F152" s="20"/>
      <x:c r="G152" s="20"/>
      <x:c r="H152" s="20"/>
      <x:c r="I152" s="20"/>
      <x:c r="J152" s="20"/>
      <x:c r="K152" s="20"/>
      <x:c r="L152" s="20"/>
      <x:c r="M152" s="20"/>
      <x:c r="N152" s="20"/>
      <x:c r="O152" s="20"/>
      <x:c r="P152" s="20"/>
      <x:c r="Q152" s="20"/>
      <x:c r="R152" s="20"/>
      <x:c r="S152" s="20"/>
      <x:c r="T152" s="20"/>
      <x:c r="U152" s="20"/>
      <x:c r="V152" s="20"/>
      <x:c r="W152" s="20"/>
      <x:c r="X152" s="20"/>
      <x:c r="Y152" s="20"/>
      <x:c r="Z152" s="20"/>
    </x:row>
    <x:row r="153">
      <x:c r="A153" s="20"/>
      <x:c r="B153" s="20"/>
      <x:c r="C153" s="20"/>
      <x:c r="D153" s="20"/>
      <x:c r="E153" s="20"/>
      <x:c r="F153" s="20"/>
      <x:c r="G153" s="20"/>
      <x:c r="H153" s="20"/>
      <x:c r="I153" s="20"/>
      <x:c r="J153" s="20"/>
      <x:c r="K153" s="20"/>
      <x:c r="L153" s="20"/>
      <x:c r="M153" s="20"/>
      <x:c r="N153" s="20"/>
      <x:c r="O153" s="20"/>
      <x:c r="P153" s="20"/>
      <x:c r="Q153" s="20"/>
      <x:c r="R153" s="20"/>
      <x:c r="S153" s="20"/>
      <x:c r="T153" s="20"/>
      <x:c r="U153" s="20"/>
      <x:c r="V153" s="20"/>
      <x:c r="W153" s="20"/>
      <x:c r="X153" s="20"/>
      <x:c r="Y153" s="20"/>
      <x:c r="Z153" s="20"/>
    </x:row>
    <x:row r="154">
      <x:c r="A154" s="20"/>
      <x:c r="B154" s="20"/>
      <x:c r="C154" s="20"/>
      <x:c r="D154" s="20"/>
      <x:c r="E154" s="20"/>
      <x:c r="F154" s="20"/>
      <x:c r="G154" s="20"/>
      <x:c r="H154" s="20"/>
      <x:c r="I154" s="20"/>
      <x:c r="J154" s="20"/>
      <x:c r="K154" s="20"/>
      <x:c r="L154" s="20"/>
      <x:c r="M154" s="20"/>
      <x:c r="N154" s="20"/>
      <x:c r="O154" s="20"/>
      <x:c r="P154" s="20"/>
      <x:c r="Q154" s="20"/>
      <x:c r="R154" s="20"/>
      <x:c r="S154" s="20"/>
      <x:c r="T154" s="20"/>
      <x:c r="U154" s="20"/>
      <x:c r="V154" s="20"/>
      <x:c r="W154" s="20"/>
      <x:c r="X154" s="20"/>
      <x:c r="Y154" s="20"/>
      <x:c r="Z154" s="20"/>
    </x:row>
    <x:row r="155">
      <x:c r="A155" s="20"/>
      <x:c r="B155" s="20"/>
      <x:c r="C155" s="20"/>
      <x:c r="D155" s="20"/>
      <x:c r="E155" s="20"/>
      <x:c r="F155" s="20"/>
      <x:c r="G155" s="20"/>
      <x:c r="H155" s="20"/>
      <x:c r="I155" s="20"/>
      <x:c r="J155" s="20"/>
      <x:c r="K155" s="20"/>
      <x:c r="L155" s="20"/>
      <x:c r="M155" s="20"/>
      <x:c r="N155" s="20"/>
      <x:c r="O155" s="20"/>
      <x:c r="P155" s="20"/>
      <x:c r="Q155" s="20"/>
      <x:c r="R155" s="20"/>
      <x:c r="S155" s="20"/>
      <x:c r="T155" s="20"/>
      <x:c r="U155" s="20"/>
      <x:c r="V155" s="20"/>
      <x:c r="W155" s="20"/>
      <x:c r="X155" s="20"/>
      <x:c r="Y155" s="20"/>
      <x:c r="Z155" s="20"/>
    </x:row>
    <x:row r="156">
      <x:c r="A156" s="20"/>
      <x:c r="B156" s="20"/>
      <x:c r="C156" s="20"/>
      <x:c r="D156" s="20"/>
      <x:c r="E156" s="20"/>
      <x:c r="F156" s="20"/>
      <x:c r="G156" s="20"/>
      <x:c r="H156" s="20"/>
      <x:c r="I156" s="20"/>
      <x:c r="J156" s="20"/>
      <x:c r="K156" s="20"/>
      <x:c r="L156" s="20"/>
      <x:c r="M156" s="20"/>
      <x:c r="N156" s="20"/>
      <x:c r="O156" s="20"/>
      <x:c r="P156" s="20"/>
      <x:c r="Q156" s="20"/>
      <x:c r="R156" s="20"/>
      <x:c r="S156" s="20"/>
      <x:c r="T156" s="20"/>
      <x:c r="U156" s="20"/>
      <x:c r="V156" s="20"/>
      <x:c r="W156" s="20"/>
      <x:c r="X156" s="20"/>
      <x:c r="Y156" s="20"/>
      <x:c r="Z156" s="20"/>
    </x:row>
    <x:row r="157">
      <x:c r="A157" s="20"/>
      <x:c r="B157" s="20"/>
      <x:c r="C157" s="20"/>
      <x:c r="D157" s="20"/>
      <x:c r="E157" s="20"/>
      <x:c r="F157" s="20"/>
      <x:c r="G157" s="20"/>
      <x:c r="H157" s="20"/>
      <x:c r="I157" s="20"/>
      <x:c r="J157" s="20"/>
      <x:c r="K157" s="20"/>
      <x:c r="L157" s="20"/>
      <x:c r="M157" s="20"/>
      <x:c r="N157" s="20"/>
      <x:c r="O157" s="20"/>
      <x:c r="P157" s="20"/>
      <x:c r="Q157" s="20"/>
      <x:c r="R157" s="20"/>
      <x:c r="S157" s="20"/>
      <x:c r="T157" s="20"/>
      <x:c r="U157" s="20"/>
      <x:c r="V157" s="20"/>
      <x:c r="W157" s="20"/>
      <x:c r="X157" s="20"/>
      <x:c r="Y157" s="20"/>
      <x:c r="Z157" s="20"/>
    </x:row>
    <x:row r="158">
      <x:c r="A158" s="20"/>
      <x:c r="B158" s="20"/>
      <x:c r="C158" s="20"/>
      <x:c r="D158" s="20"/>
      <x:c r="E158" s="20"/>
      <x:c r="F158" s="20"/>
      <x:c r="G158" s="20"/>
      <x:c r="H158" s="20"/>
      <x:c r="I158" s="20"/>
      <x:c r="J158" s="20"/>
      <x:c r="K158" s="20"/>
      <x:c r="L158" s="20"/>
      <x:c r="M158" s="20"/>
      <x:c r="N158" s="20"/>
      <x:c r="O158" s="20"/>
      <x:c r="P158" s="20"/>
      <x:c r="Q158" s="20"/>
      <x:c r="R158" s="20"/>
      <x:c r="S158" s="20"/>
      <x:c r="T158" s="20"/>
      <x:c r="U158" s="20"/>
      <x:c r="V158" s="20"/>
      <x:c r="W158" s="20"/>
      <x:c r="X158" s="20"/>
      <x:c r="Y158" s="20"/>
      <x:c r="Z158" s="20"/>
    </x:row>
    <x:row r="159">
      <x:c r="A159" s="20"/>
      <x:c r="B159" s="20"/>
      <x:c r="C159" s="20"/>
      <x:c r="D159" s="20"/>
      <x:c r="E159" s="20"/>
      <x:c r="F159" s="20"/>
      <x:c r="G159" s="20"/>
      <x:c r="H159" s="20"/>
      <x:c r="I159" s="20"/>
      <x:c r="J159" s="20"/>
      <x:c r="K159" s="20"/>
      <x:c r="L159" s="20"/>
      <x:c r="M159" s="20"/>
      <x:c r="N159" s="20"/>
      <x:c r="O159" s="20"/>
      <x:c r="P159" s="20"/>
      <x:c r="Q159" s="20"/>
      <x:c r="R159" s="20"/>
      <x:c r="S159" s="20"/>
      <x:c r="T159" s="20"/>
      <x:c r="U159" s="20"/>
      <x:c r="V159" s="20"/>
      <x:c r="W159" s="20"/>
      <x:c r="X159" s="20"/>
      <x:c r="Y159" s="20"/>
      <x:c r="Z159" s="20"/>
    </x:row>
    <x:row r="160">
      <x:c r="A160" s="20"/>
      <x:c r="B160" s="20"/>
      <x:c r="C160" s="20"/>
      <x:c r="D160" s="20"/>
      <x:c r="E160" s="20"/>
      <x:c r="F160" s="20"/>
      <x:c r="G160" s="20"/>
      <x:c r="H160" s="20"/>
      <x:c r="I160" s="20"/>
      <x:c r="J160" s="20"/>
      <x:c r="K160" s="20"/>
      <x:c r="L160" s="20"/>
      <x:c r="M160" s="20"/>
      <x:c r="N160" s="20"/>
      <x:c r="O160" s="20"/>
      <x:c r="P160" s="20"/>
      <x:c r="Q160" s="20"/>
      <x:c r="R160" s="20"/>
      <x:c r="S160" s="20"/>
      <x:c r="T160" s="20"/>
      <x:c r="U160" s="20"/>
      <x:c r="V160" s="20"/>
      <x:c r="W160" s="20"/>
      <x:c r="X160" s="20"/>
      <x:c r="Y160" s="20"/>
      <x:c r="Z160" s="20"/>
    </x:row>
    <x:row r="161">
      <x:c r="A161" s="20"/>
      <x:c r="B161" s="20"/>
      <x:c r="C161" s="20"/>
      <x:c r="D161" s="20"/>
      <x:c r="E161" s="20"/>
      <x:c r="F161" s="20"/>
      <x:c r="G161" s="20"/>
      <x:c r="H161" s="20"/>
      <x:c r="I161" s="20"/>
      <x:c r="J161" s="20"/>
      <x:c r="K161" s="20"/>
      <x:c r="L161" s="20"/>
      <x:c r="M161" s="20"/>
      <x:c r="N161" s="20"/>
      <x:c r="O161" s="20"/>
      <x:c r="P161" s="20"/>
      <x:c r="Q161" s="20"/>
      <x:c r="R161" s="20"/>
      <x:c r="S161" s="20"/>
      <x:c r="T161" s="20"/>
      <x:c r="U161" s="20"/>
      <x:c r="V161" s="20"/>
      <x:c r="W161" s="20"/>
      <x:c r="X161" s="20"/>
      <x:c r="Y161" s="20"/>
      <x:c r="Z161" s="20"/>
    </x:row>
    <x:row r="162">
      <x:c r="A162" s="20"/>
      <x:c r="B162" s="20"/>
      <x:c r="C162" s="20"/>
      <x:c r="D162" s="20"/>
      <x:c r="E162" s="20"/>
      <x:c r="F162" s="20"/>
      <x:c r="G162" s="20"/>
      <x:c r="H162" s="20"/>
      <x:c r="I162" s="20"/>
      <x:c r="J162" s="20"/>
      <x:c r="K162" s="20"/>
      <x:c r="L162" s="20"/>
      <x:c r="M162" s="20"/>
      <x:c r="N162" s="20"/>
      <x:c r="O162" s="20"/>
      <x:c r="P162" s="20"/>
      <x:c r="Q162" s="20"/>
      <x:c r="R162" s="20"/>
      <x:c r="S162" s="20"/>
      <x:c r="T162" s="20"/>
      <x:c r="U162" s="20"/>
      <x:c r="V162" s="20"/>
      <x:c r="W162" s="20"/>
      <x:c r="X162" s="20"/>
      <x:c r="Y162" s="20"/>
      <x:c r="Z162" s="20"/>
    </x:row>
    <x:row r="163">
      <x:c r="A163" s="20"/>
      <x:c r="B163" s="20"/>
      <x:c r="C163" s="20"/>
      <x:c r="D163" s="20"/>
      <x:c r="E163" s="20"/>
      <x:c r="F163" s="20"/>
      <x:c r="G163" s="20"/>
      <x:c r="H163" s="20"/>
      <x:c r="I163" s="20"/>
      <x:c r="J163" s="20"/>
      <x:c r="K163" s="20"/>
      <x:c r="L163" s="20"/>
      <x:c r="M163" s="20"/>
      <x:c r="N163" s="20"/>
      <x:c r="O163" s="20"/>
      <x:c r="P163" s="20"/>
      <x:c r="Q163" s="20"/>
      <x:c r="R163" s="20"/>
      <x:c r="S163" s="20"/>
      <x:c r="T163" s="20"/>
      <x:c r="U163" s="20"/>
      <x:c r="V163" s="20"/>
      <x:c r="W163" s="20"/>
      <x:c r="X163" s="20"/>
      <x:c r="Y163" s="20"/>
      <x:c r="Z163" s="20"/>
    </x:row>
    <x:row r="164">
      <x:c r="A164" s="20"/>
      <x:c r="B164" s="20"/>
      <x:c r="C164" s="20"/>
      <x:c r="D164" s="20"/>
      <x:c r="E164" s="20"/>
      <x:c r="F164" s="20"/>
      <x:c r="G164" s="20"/>
      <x:c r="H164" s="20"/>
      <x:c r="I164" s="20"/>
      <x:c r="J164" s="20"/>
      <x:c r="K164" s="20"/>
      <x:c r="L164" s="20"/>
      <x:c r="M164" s="20"/>
      <x:c r="N164" s="20"/>
      <x:c r="O164" s="20"/>
      <x:c r="P164" s="20"/>
      <x:c r="Q164" s="20"/>
      <x:c r="R164" s="20"/>
      <x:c r="S164" s="20"/>
      <x:c r="T164" s="20"/>
      <x:c r="U164" s="20"/>
      <x:c r="V164" s="20"/>
      <x:c r="W164" s="20"/>
      <x:c r="X164" s="20"/>
      <x:c r="Y164" s="20"/>
      <x:c r="Z164" s="20"/>
    </x:row>
    <x:row r="165">
      <x:c r="A165" s="20"/>
      <x:c r="B165" s="20"/>
      <x:c r="C165" s="20"/>
      <x:c r="D165" s="20"/>
      <x:c r="E165" s="20"/>
      <x:c r="F165" s="20"/>
      <x:c r="G165" s="20"/>
      <x:c r="H165" s="20"/>
      <x:c r="I165" s="20"/>
      <x:c r="J165" s="20"/>
      <x:c r="K165" s="20"/>
      <x:c r="L165" s="20"/>
      <x:c r="M165" s="20"/>
      <x:c r="N165" s="20"/>
      <x:c r="O165" s="20"/>
      <x:c r="P165" s="20"/>
      <x:c r="Q165" s="20"/>
      <x:c r="R165" s="20"/>
      <x:c r="S165" s="20"/>
      <x:c r="T165" s="20"/>
      <x:c r="U165" s="20"/>
      <x:c r="V165" s="20"/>
      <x:c r="W165" s="20"/>
      <x:c r="X165" s="20"/>
      <x:c r="Y165" s="20"/>
      <x:c r="Z165" s="20"/>
    </x:row>
    <x:row r="166">
      <x:c r="A166" s="20"/>
      <x:c r="B166" s="20"/>
      <x:c r="C166" s="20"/>
      <x:c r="D166" s="20"/>
      <x:c r="E166" s="20"/>
      <x:c r="F166" s="20"/>
      <x:c r="G166" s="20"/>
      <x:c r="H166" s="20"/>
      <x:c r="I166" s="20"/>
      <x:c r="J166" s="20"/>
      <x:c r="K166" s="20"/>
      <x:c r="L166" s="20"/>
      <x:c r="M166" s="20"/>
      <x:c r="N166" s="20"/>
      <x:c r="O166" s="20"/>
      <x:c r="P166" s="20"/>
      <x:c r="Q166" s="20"/>
      <x:c r="R166" s="20"/>
      <x:c r="S166" s="20"/>
      <x:c r="T166" s="20"/>
      <x:c r="U166" s="20"/>
      <x:c r="V166" s="20"/>
      <x:c r="W166" s="20"/>
      <x:c r="X166" s="20"/>
      <x:c r="Y166" s="20"/>
      <x:c r="Z166" s="20"/>
    </x:row>
    <x:row r="167">
      <x:c r="A167" s="20"/>
      <x:c r="B167" s="20"/>
      <x:c r="C167" s="20"/>
      <x:c r="D167" s="20"/>
      <x:c r="E167" s="20"/>
      <x:c r="F167" s="20"/>
      <x:c r="G167" s="20"/>
      <x:c r="H167" s="20"/>
      <x:c r="I167" s="20"/>
      <x:c r="J167" s="20"/>
      <x:c r="K167" s="20"/>
      <x:c r="L167" s="20"/>
      <x:c r="M167" s="20"/>
      <x:c r="N167" s="20"/>
      <x:c r="O167" s="20"/>
      <x:c r="P167" s="20"/>
      <x:c r="Q167" s="20"/>
      <x:c r="R167" s="20"/>
      <x:c r="S167" s="20"/>
      <x:c r="T167" s="20"/>
      <x:c r="U167" s="20"/>
      <x:c r="V167" s="20"/>
      <x:c r="W167" s="20"/>
      <x:c r="X167" s="20"/>
      <x:c r="Y167" s="20"/>
      <x:c r="Z167" s="20"/>
    </x:row>
    <x:row r="168">
      <x:c r="A168" s="20"/>
      <x:c r="B168" s="20"/>
      <x:c r="C168" s="20"/>
      <x:c r="D168" s="20"/>
      <x:c r="E168" s="20"/>
      <x:c r="F168" s="20"/>
      <x:c r="G168" s="20"/>
      <x:c r="H168" s="20"/>
      <x:c r="I168" s="20"/>
      <x:c r="J168" s="20"/>
      <x:c r="K168" s="20"/>
      <x:c r="L168" s="20"/>
      <x:c r="M168" s="20"/>
      <x:c r="N168" s="20"/>
      <x:c r="O168" s="20"/>
      <x:c r="P168" s="20"/>
      <x:c r="Q168" s="20"/>
      <x:c r="R168" s="20"/>
      <x:c r="S168" s="20"/>
      <x:c r="T168" s="20"/>
      <x:c r="U168" s="20"/>
      <x:c r="V168" s="20"/>
      <x:c r="W168" s="20"/>
      <x:c r="X168" s="20"/>
      <x:c r="Y168" s="20"/>
      <x:c r="Z168" s="20"/>
    </x:row>
    <x:row r="169">
      <x:c r="A169" s="20"/>
      <x:c r="B169" s="20"/>
      <x:c r="C169" s="20"/>
      <x:c r="D169" s="20"/>
      <x:c r="E169" s="20"/>
      <x:c r="F169" s="20"/>
      <x:c r="G169" s="20"/>
      <x:c r="H169" s="20"/>
      <x:c r="I169" s="20"/>
      <x:c r="J169" s="20"/>
      <x:c r="K169" s="20"/>
      <x:c r="L169" s="20"/>
      <x:c r="M169" s="20"/>
      <x:c r="N169" s="20"/>
      <x:c r="O169" s="20"/>
      <x:c r="P169" s="20"/>
      <x:c r="Q169" s="20"/>
      <x:c r="R169" s="20"/>
      <x:c r="S169" s="20"/>
      <x:c r="T169" s="20"/>
      <x:c r="U169" s="20"/>
      <x:c r="V169" s="20"/>
      <x:c r="W169" s="20"/>
      <x:c r="X169" s="20"/>
      <x:c r="Y169" s="20"/>
      <x:c r="Z169" s="20"/>
    </x:row>
    <x:row r="170">
      <x:c r="A170" s="20"/>
      <x:c r="B170" s="20"/>
      <x:c r="C170" s="20"/>
      <x:c r="D170" s="20"/>
      <x:c r="E170" s="20"/>
      <x:c r="F170" s="20"/>
      <x:c r="G170" s="20"/>
      <x:c r="H170" s="20"/>
      <x:c r="I170" s="20"/>
      <x:c r="J170" s="20"/>
      <x:c r="K170" s="20"/>
      <x:c r="L170" s="20"/>
      <x:c r="M170" s="20"/>
      <x:c r="N170" s="20"/>
      <x:c r="O170" s="20"/>
      <x:c r="P170" s="20"/>
      <x:c r="Q170" s="20"/>
      <x:c r="R170" s="20"/>
      <x:c r="S170" s="20"/>
      <x:c r="T170" s="20"/>
      <x:c r="U170" s="20"/>
      <x:c r="V170" s="20"/>
      <x:c r="W170" s="20"/>
      <x:c r="X170" s="20"/>
      <x:c r="Y170" s="20"/>
      <x:c r="Z170" s="20"/>
    </x:row>
    <x:row r="171">
      <x:c r="A171" s="20"/>
      <x:c r="B171" s="20"/>
      <x:c r="C171" s="20"/>
      <x:c r="D171" s="20"/>
      <x:c r="E171" s="20"/>
      <x:c r="F171" s="20"/>
      <x:c r="G171" s="20"/>
      <x:c r="H171" s="20"/>
      <x:c r="I171" s="20"/>
      <x:c r="J171" s="20"/>
      <x:c r="K171" s="20"/>
      <x:c r="L171" s="20"/>
      <x:c r="M171" s="20"/>
      <x:c r="N171" s="20"/>
      <x:c r="O171" s="20"/>
      <x:c r="P171" s="20"/>
      <x:c r="Q171" s="20"/>
      <x:c r="R171" s="20"/>
      <x:c r="S171" s="20"/>
      <x:c r="T171" s="20"/>
      <x:c r="U171" s="20"/>
      <x:c r="V171" s="20"/>
      <x:c r="W171" s="20"/>
      <x:c r="X171" s="20"/>
      <x:c r="Y171" s="20"/>
      <x:c r="Z171" s="20"/>
    </x:row>
    <x:row r="172">
      <x:c r="A172" s="20"/>
      <x:c r="B172" s="20"/>
      <x:c r="C172" s="20"/>
      <x:c r="D172" s="20"/>
      <x:c r="E172" s="20"/>
      <x:c r="F172" s="20"/>
      <x:c r="G172" s="20"/>
      <x:c r="H172" s="20"/>
      <x:c r="I172" s="20"/>
      <x:c r="J172" s="20"/>
      <x:c r="K172" s="20"/>
      <x:c r="L172" s="20"/>
      <x:c r="M172" s="20"/>
      <x:c r="N172" s="20"/>
      <x:c r="O172" s="20"/>
      <x:c r="P172" s="20"/>
      <x:c r="Q172" s="20"/>
      <x:c r="R172" s="20"/>
      <x:c r="S172" s="20"/>
      <x:c r="T172" s="20"/>
      <x:c r="U172" s="20"/>
      <x:c r="V172" s="20"/>
      <x:c r="W172" s="20"/>
      <x:c r="X172" s="20"/>
      <x:c r="Y172" s="20"/>
      <x:c r="Z172" s="20"/>
    </x:row>
    <x:row r="173">
      <x:c r="A173" s="20"/>
      <x:c r="B173" s="20"/>
      <x:c r="C173" s="20"/>
      <x:c r="D173" s="20"/>
      <x:c r="E173" s="20"/>
      <x:c r="F173" s="20"/>
      <x:c r="G173" s="20"/>
      <x:c r="H173" s="20"/>
      <x:c r="I173" s="20"/>
      <x:c r="J173" s="20"/>
      <x:c r="K173" s="20"/>
      <x:c r="L173" s="20"/>
      <x:c r="M173" s="20"/>
      <x:c r="N173" s="20"/>
      <x:c r="O173" s="20"/>
      <x:c r="P173" s="20"/>
      <x:c r="Q173" s="20"/>
      <x:c r="R173" s="20"/>
      <x:c r="S173" s="20"/>
      <x:c r="T173" s="20"/>
      <x:c r="U173" s="20"/>
      <x:c r="V173" s="20"/>
      <x:c r="W173" s="20"/>
      <x:c r="X173" s="20"/>
      <x:c r="Y173" s="20"/>
      <x:c r="Z173" s="20"/>
    </x:row>
    <x:row r="174">
      <x:c r="A174" s="20"/>
      <x:c r="B174" s="20"/>
      <x:c r="C174" s="20"/>
      <x:c r="D174" s="20"/>
      <x:c r="E174" s="20"/>
      <x:c r="F174" s="20"/>
      <x:c r="G174" s="20"/>
      <x:c r="H174" s="20"/>
      <x:c r="I174" s="20"/>
      <x:c r="J174" s="20"/>
      <x:c r="K174" s="20"/>
      <x:c r="L174" s="20"/>
      <x:c r="M174" s="20"/>
      <x:c r="N174" s="20"/>
      <x:c r="O174" s="20"/>
      <x:c r="P174" s="20"/>
      <x:c r="Q174" s="20"/>
      <x:c r="R174" s="20"/>
      <x:c r="S174" s="20"/>
      <x:c r="T174" s="20"/>
      <x:c r="U174" s="20"/>
      <x:c r="V174" s="20"/>
      <x:c r="W174" s="20"/>
      <x:c r="X174" s="20"/>
      <x:c r="Y174" s="20"/>
      <x:c r="Z174" s="20"/>
    </x:row>
    <x:row r="175">
      <x:c r="A175" s="20"/>
      <x:c r="B175" s="20"/>
      <x:c r="C175" s="20"/>
      <x:c r="D175" s="20"/>
      <x:c r="E175" s="20"/>
      <x:c r="F175" s="20"/>
      <x:c r="G175" s="20"/>
      <x:c r="H175" s="20"/>
      <x:c r="I175" s="20"/>
      <x:c r="J175" s="20"/>
      <x:c r="K175" s="20"/>
      <x:c r="L175" s="20"/>
      <x:c r="M175" s="20"/>
      <x:c r="N175" s="20"/>
      <x:c r="O175" s="20"/>
      <x:c r="P175" s="20"/>
      <x:c r="Q175" s="20"/>
      <x:c r="R175" s="20"/>
      <x:c r="S175" s="20"/>
      <x:c r="T175" s="20"/>
      <x:c r="U175" s="20"/>
      <x:c r="V175" s="20"/>
      <x:c r="W175" s="20"/>
      <x:c r="X175" s="20"/>
      <x:c r="Y175" s="20"/>
      <x:c r="Z175" s="20"/>
    </x:row>
    <x:row r="176">
      <x:c r="A176" s="20"/>
      <x:c r="B176" s="20"/>
      <x:c r="C176" s="20"/>
      <x:c r="D176" s="20"/>
      <x:c r="E176" s="20"/>
      <x:c r="F176" s="20"/>
      <x:c r="G176" s="20"/>
      <x:c r="H176" s="20"/>
      <x:c r="I176" s="20"/>
      <x:c r="J176" s="20"/>
      <x:c r="K176" s="20"/>
      <x:c r="L176" s="20"/>
      <x:c r="M176" s="20"/>
      <x:c r="N176" s="20"/>
      <x:c r="O176" s="20"/>
      <x:c r="P176" s="20"/>
      <x:c r="Q176" s="20"/>
      <x:c r="R176" s="20"/>
      <x:c r="S176" s="20"/>
      <x:c r="T176" s="20"/>
      <x:c r="U176" s="20"/>
      <x:c r="V176" s="20"/>
      <x:c r="W176" s="20"/>
      <x:c r="X176" s="20"/>
      <x:c r="Y176" s="20"/>
      <x:c r="Z176" s="20"/>
    </x:row>
    <x:row r="177">
      <x:c r="A177" s="20"/>
      <x:c r="B177" s="20"/>
      <x:c r="C177" s="20"/>
      <x:c r="D177" s="20"/>
      <x:c r="E177" s="20"/>
      <x:c r="F177" s="20"/>
      <x:c r="G177" s="20"/>
      <x:c r="H177" s="20"/>
      <x:c r="I177" s="20"/>
      <x:c r="J177" s="20"/>
      <x:c r="K177" s="20"/>
      <x:c r="L177" s="20"/>
      <x:c r="M177" s="20"/>
      <x:c r="N177" s="20"/>
      <x:c r="O177" s="20"/>
      <x:c r="P177" s="20"/>
      <x:c r="Q177" s="20"/>
      <x:c r="R177" s="20"/>
      <x:c r="S177" s="20"/>
      <x:c r="T177" s="20"/>
      <x:c r="U177" s="20"/>
      <x:c r="V177" s="20"/>
      <x:c r="W177" s="20"/>
      <x:c r="X177" s="20"/>
      <x:c r="Y177" s="20"/>
      <x:c r="Z177" s="20"/>
    </x:row>
    <x:row r="178">
      <x:c r="A178" s="20"/>
      <x:c r="B178" s="20"/>
      <x:c r="C178" s="20"/>
      <x:c r="D178" s="20"/>
      <x:c r="E178" s="20"/>
      <x:c r="F178" s="20"/>
      <x:c r="G178" s="20"/>
      <x:c r="H178" s="20"/>
      <x:c r="I178" s="20"/>
      <x:c r="J178" s="20"/>
      <x:c r="K178" s="20"/>
      <x:c r="L178" s="20"/>
      <x:c r="M178" s="20"/>
      <x:c r="N178" s="20"/>
      <x:c r="O178" s="20"/>
      <x:c r="P178" s="20"/>
      <x:c r="Q178" s="20"/>
      <x:c r="R178" s="20"/>
      <x:c r="S178" s="20"/>
      <x:c r="T178" s="20"/>
      <x:c r="U178" s="20"/>
      <x:c r="V178" s="20"/>
      <x:c r="W178" s="20"/>
      <x:c r="X178" s="20"/>
      <x:c r="Y178" s="20"/>
      <x:c r="Z178" s="20"/>
    </x:row>
    <x:row r="179">
      <x:c r="A179" s="20"/>
      <x:c r="B179" s="20"/>
      <x:c r="C179" s="20"/>
      <x:c r="D179" s="20"/>
      <x:c r="E179" s="20"/>
      <x:c r="F179" s="20"/>
      <x:c r="G179" s="20"/>
      <x:c r="H179" s="20"/>
      <x:c r="I179" s="20"/>
      <x:c r="J179" s="20"/>
      <x:c r="K179" s="20"/>
      <x:c r="L179" s="20"/>
      <x:c r="M179" s="20"/>
      <x:c r="N179" s="20"/>
      <x:c r="O179" s="20"/>
      <x:c r="P179" s="20"/>
      <x:c r="Q179" s="20"/>
      <x:c r="R179" s="20"/>
      <x:c r="S179" s="20"/>
      <x:c r="T179" s="20"/>
      <x:c r="U179" s="20"/>
      <x:c r="V179" s="20"/>
      <x:c r="W179" s="20"/>
      <x:c r="X179" s="20"/>
      <x:c r="Y179" s="20"/>
      <x:c r="Z179" s="20"/>
    </x:row>
    <x:row r="180">
      <x:c r="A180" s="20"/>
      <x:c r="B180" s="20"/>
      <x:c r="C180" s="20"/>
      <x:c r="D180" s="20"/>
      <x:c r="E180" s="20"/>
      <x:c r="F180" s="20"/>
      <x:c r="G180" s="20"/>
      <x:c r="H180" s="20"/>
      <x:c r="I180" s="20"/>
      <x:c r="J180" s="20"/>
      <x:c r="K180" s="20"/>
      <x:c r="L180" s="20"/>
      <x:c r="M180" s="20"/>
      <x:c r="N180" s="20"/>
      <x:c r="O180" s="20"/>
      <x:c r="P180" s="20"/>
      <x:c r="Q180" s="20"/>
      <x:c r="R180" s="20"/>
      <x:c r="S180" s="20"/>
      <x:c r="T180" s="20"/>
      <x:c r="U180" s="20"/>
      <x:c r="V180" s="20"/>
      <x:c r="W180" s="20"/>
      <x:c r="X180" s="20"/>
      <x:c r="Y180" s="20"/>
      <x:c r="Z180" s="20"/>
    </x:row>
    <x:row r="181">
      <x:c r="A181" s="20"/>
      <x:c r="B181" s="20"/>
      <x:c r="C181" s="20"/>
      <x:c r="D181" s="20"/>
      <x:c r="E181" s="20"/>
      <x:c r="F181" s="20"/>
      <x:c r="G181" s="20"/>
      <x:c r="H181" s="20"/>
      <x:c r="I181" s="20"/>
      <x:c r="J181" s="20"/>
      <x:c r="K181" s="20"/>
      <x:c r="L181" s="20"/>
      <x:c r="M181" s="20"/>
      <x:c r="N181" s="20"/>
      <x:c r="O181" s="20"/>
      <x:c r="P181" s="20"/>
      <x:c r="Q181" s="20"/>
      <x:c r="R181" s="20"/>
      <x:c r="S181" s="20"/>
      <x:c r="T181" s="20"/>
      <x:c r="U181" s="20"/>
      <x:c r="V181" s="20"/>
      <x:c r="W181" s="20"/>
      <x:c r="X181" s="20"/>
      <x:c r="Y181" s="20"/>
      <x:c r="Z181" s="20"/>
    </x:row>
    <x:row r="182">
      <x:c r="A182" s="20"/>
      <x:c r="B182" s="20"/>
      <x:c r="C182" s="20"/>
      <x:c r="D182" s="20"/>
      <x:c r="E182" s="20"/>
      <x:c r="F182" s="20"/>
      <x:c r="G182" s="20"/>
      <x:c r="H182" s="20"/>
      <x:c r="I182" s="20"/>
      <x:c r="J182" s="20"/>
      <x:c r="K182" s="20"/>
      <x:c r="L182" s="20"/>
      <x:c r="M182" s="20"/>
      <x:c r="N182" s="20"/>
      <x:c r="O182" s="20"/>
      <x:c r="P182" s="20"/>
      <x:c r="Q182" s="20"/>
      <x:c r="R182" s="20"/>
      <x:c r="S182" s="20"/>
      <x:c r="T182" s="20"/>
      <x:c r="U182" s="20"/>
      <x:c r="V182" s="20"/>
      <x:c r="W182" s="20"/>
      <x:c r="X182" s="20"/>
      <x:c r="Y182" s="20"/>
      <x:c r="Z182" s="20"/>
    </x:row>
    <x:row r="183">
      <x:c r="A183" s="20"/>
      <x:c r="B183" s="20"/>
      <x:c r="C183" s="20"/>
      <x:c r="D183" s="20"/>
      <x:c r="E183" s="20"/>
      <x:c r="F183" s="20"/>
      <x:c r="G183" s="20"/>
      <x:c r="H183" s="20"/>
      <x:c r="I183" s="20"/>
      <x:c r="J183" s="20"/>
      <x:c r="K183" s="20"/>
      <x:c r="L183" s="20"/>
      <x:c r="M183" s="20"/>
      <x:c r="N183" s="20"/>
      <x:c r="O183" s="20"/>
      <x:c r="P183" s="20"/>
      <x:c r="Q183" s="20"/>
      <x:c r="R183" s="20"/>
      <x:c r="S183" s="20"/>
      <x:c r="T183" s="20"/>
      <x:c r="U183" s="20"/>
      <x:c r="V183" s="20"/>
      <x:c r="W183" s="20"/>
      <x:c r="X183" s="20"/>
      <x:c r="Y183" s="20"/>
      <x:c r="Z183" s="20"/>
    </x:row>
    <x:row r="184">
      <x:c r="A184" s="20"/>
      <x:c r="B184" s="20"/>
      <x:c r="C184" s="20"/>
      <x:c r="D184" s="20"/>
      <x:c r="E184" s="20"/>
      <x:c r="F184" s="20"/>
      <x:c r="G184" s="20"/>
      <x:c r="H184" s="20"/>
      <x:c r="I184" s="20"/>
      <x:c r="J184" s="20"/>
      <x:c r="K184" s="20"/>
      <x:c r="L184" s="20"/>
      <x:c r="M184" s="20"/>
      <x:c r="N184" s="20"/>
      <x:c r="O184" s="20"/>
      <x:c r="P184" s="20"/>
      <x:c r="Q184" s="20"/>
      <x:c r="R184" s="20"/>
      <x:c r="S184" s="20"/>
      <x:c r="T184" s="20"/>
      <x:c r="U184" s="20"/>
      <x:c r="V184" s="20"/>
      <x:c r="W184" s="20"/>
      <x:c r="X184" s="20"/>
      <x:c r="Y184" s="20"/>
      <x:c r="Z184" s="20"/>
    </x:row>
    <x:row r="185">
      <x:c r="A185" s="20"/>
      <x:c r="B185" s="20"/>
      <x:c r="C185" s="20"/>
      <x:c r="D185" s="20"/>
      <x:c r="E185" s="20"/>
      <x:c r="F185" s="20"/>
      <x:c r="G185" s="20"/>
      <x:c r="H185" s="20"/>
      <x:c r="I185" s="20"/>
      <x:c r="J185" s="20"/>
      <x:c r="K185" s="20"/>
      <x:c r="L185" s="20"/>
      <x:c r="M185" s="20"/>
      <x:c r="N185" s="20"/>
      <x:c r="O185" s="20"/>
      <x:c r="P185" s="20"/>
      <x:c r="Q185" s="20"/>
      <x:c r="R185" s="20"/>
      <x:c r="S185" s="20"/>
      <x:c r="T185" s="20"/>
      <x:c r="U185" s="20"/>
      <x:c r="V185" s="20"/>
      <x:c r="W185" s="20"/>
      <x:c r="X185" s="20"/>
      <x:c r="Y185" s="20"/>
      <x:c r="Z185" s="20"/>
    </x:row>
    <x:row r="186">
      <x:c r="A186" s="20"/>
      <x:c r="B186" s="20"/>
      <x:c r="C186" s="20"/>
      <x:c r="D186" s="20"/>
      <x:c r="E186" s="20"/>
      <x:c r="F186" s="20"/>
      <x:c r="G186" s="20"/>
      <x:c r="H186" s="20"/>
      <x:c r="I186" s="20"/>
      <x:c r="J186" s="20"/>
      <x:c r="K186" s="20"/>
      <x:c r="L186" s="20"/>
      <x:c r="M186" s="20"/>
      <x:c r="N186" s="20"/>
      <x:c r="O186" s="20"/>
      <x:c r="P186" s="20"/>
      <x:c r="Q186" s="20"/>
      <x:c r="R186" s="20"/>
      <x:c r="S186" s="20"/>
      <x:c r="T186" s="20"/>
      <x:c r="U186" s="20"/>
      <x:c r="V186" s="20"/>
      <x:c r="W186" s="20"/>
      <x:c r="X186" s="20"/>
      <x:c r="Y186" s="20"/>
      <x:c r="Z186" s="20"/>
    </x:row>
    <x:row r="187">
      <x:c r="A187" s="20"/>
      <x:c r="B187" s="20"/>
      <x:c r="C187" s="20"/>
      <x:c r="D187" s="20"/>
      <x:c r="E187" s="20"/>
      <x:c r="F187" s="20"/>
      <x:c r="G187" s="20"/>
      <x:c r="H187" s="20"/>
      <x:c r="I187" s="20"/>
      <x:c r="J187" s="20"/>
      <x:c r="K187" s="20"/>
      <x:c r="L187" s="20"/>
      <x:c r="M187" s="20"/>
      <x:c r="N187" s="20"/>
      <x:c r="O187" s="20"/>
      <x:c r="P187" s="20"/>
      <x:c r="Q187" s="20"/>
      <x:c r="R187" s="20"/>
      <x:c r="S187" s="20"/>
      <x:c r="T187" s="20"/>
      <x:c r="U187" s="20"/>
      <x:c r="V187" s="20"/>
      <x:c r="W187" s="20"/>
      <x:c r="X187" s="20"/>
      <x:c r="Y187" s="20"/>
      <x:c r="Z187" s="20"/>
    </x:row>
    <x:row r="188">
      <x:c r="A188" s="20"/>
      <x:c r="B188" s="20"/>
      <x:c r="C188" s="20"/>
      <x:c r="D188" s="20"/>
      <x:c r="E188" s="20"/>
      <x:c r="F188" s="20"/>
      <x:c r="G188" s="20"/>
      <x:c r="H188" s="20"/>
      <x:c r="I188" s="20"/>
      <x:c r="J188" s="20"/>
      <x:c r="K188" s="20"/>
      <x:c r="L188" s="20"/>
      <x:c r="M188" s="20"/>
      <x:c r="N188" s="20"/>
      <x:c r="O188" s="20"/>
      <x:c r="P188" s="20"/>
      <x:c r="Q188" s="20"/>
      <x:c r="R188" s="20"/>
      <x:c r="S188" s="20"/>
      <x:c r="T188" s="20"/>
      <x:c r="U188" s="20"/>
      <x:c r="V188" s="20"/>
      <x:c r="W188" s="20"/>
      <x:c r="X188" s="20"/>
      <x:c r="Y188" s="20"/>
      <x:c r="Z188" s="20"/>
    </x:row>
    <x:row r="189">
      <x:c r="A189" s="20"/>
      <x:c r="B189" s="20"/>
      <x:c r="C189" s="20"/>
      <x:c r="D189" s="20"/>
      <x:c r="E189" s="20"/>
      <x:c r="F189" s="20"/>
      <x:c r="G189" s="20"/>
      <x:c r="H189" s="20"/>
      <x:c r="I189" s="20"/>
      <x:c r="J189" s="20"/>
      <x:c r="K189" s="20"/>
      <x:c r="L189" s="20"/>
      <x:c r="M189" s="20"/>
      <x:c r="N189" s="20"/>
      <x:c r="O189" s="20"/>
      <x:c r="P189" s="20"/>
      <x:c r="Q189" s="20"/>
      <x:c r="R189" s="20"/>
      <x:c r="S189" s="20"/>
      <x:c r="T189" s="20"/>
      <x:c r="U189" s="20"/>
      <x:c r="V189" s="20"/>
      <x:c r="W189" s="20"/>
      <x:c r="X189" s="20"/>
      <x:c r="Y189" s="20"/>
      <x:c r="Z189" s="20"/>
    </x:row>
    <x:row r="190">
      <x:c r="A190" s="20"/>
      <x:c r="B190" s="20"/>
      <x:c r="C190" s="20"/>
      <x:c r="D190" s="20"/>
      <x:c r="E190" s="20"/>
      <x:c r="F190" s="20"/>
      <x:c r="G190" s="20"/>
      <x:c r="H190" s="20"/>
      <x:c r="I190" s="20"/>
      <x:c r="J190" s="20"/>
      <x:c r="K190" s="20"/>
      <x:c r="L190" s="20"/>
      <x:c r="M190" s="20"/>
      <x:c r="N190" s="20"/>
      <x:c r="O190" s="20"/>
      <x:c r="P190" s="20"/>
      <x:c r="Q190" s="20"/>
      <x:c r="R190" s="20"/>
      <x:c r="S190" s="20"/>
      <x:c r="T190" s="20"/>
      <x:c r="U190" s="20"/>
      <x:c r="V190" s="20"/>
      <x:c r="W190" s="20"/>
      <x:c r="X190" s="20"/>
      <x:c r="Y190" s="20"/>
      <x:c r="Z190" s="20"/>
    </x:row>
    <x:row r="191">
      <x:c r="A191" s="20"/>
      <x:c r="B191" s="20"/>
      <x:c r="C191" s="20"/>
      <x:c r="D191" s="20"/>
      <x:c r="E191" s="20"/>
      <x:c r="F191" s="20"/>
      <x:c r="G191" s="20"/>
      <x:c r="H191" s="20"/>
      <x:c r="I191" s="20"/>
      <x:c r="J191" s="20"/>
      <x:c r="K191" s="20"/>
      <x:c r="L191" s="20"/>
      <x:c r="M191" s="20"/>
      <x:c r="N191" s="20"/>
      <x:c r="O191" s="20"/>
      <x:c r="P191" s="20"/>
      <x:c r="Q191" s="20"/>
      <x:c r="R191" s="20"/>
      <x:c r="S191" s="20"/>
      <x:c r="T191" s="20"/>
      <x:c r="U191" s="20"/>
      <x:c r="V191" s="20"/>
      <x:c r="W191" s="20"/>
      <x:c r="X191" s="20"/>
      <x:c r="Y191" s="20"/>
      <x:c r="Z191" s="20"/>
    </x:row>
    <x:row r="192">
      <x:c r="A192" s="20"/>
      <x:c r="B192" s="20"/>
      <x:c r="C192" s="20"/>
      <x:c r="D192" s="20"/>
      <x:c r="E192" s="20"/>
      <x:c r="F192" s="20"/>
      <x:c r="G192" s="20"/>
      <x:c r="H192" s="20"/>
      <x:c r="I192" s="20"/>
      <x:c r="J192" s="20"/>
      <x:c r="K192" s="20"/>
      <x:c r="L192" s="20"/>
      <x:c r="M192" s="20"/>
      <x:c r="N192" s="20"/>
      <x:c r="O192" s="20"/>
      <x:c r="P192" s="20"/>
      <x:c r="Q192" s="20"/>
      <x:c r="R192" s="20"/>
      <x:c r="S192" s="20"/>
      <x:c r="T192" s="20"/>
      <x:c r="U192" s="20"/>
      <x:c r="V192" s="20"/>
      <x:c r="W192" s="20"/>
      <x:c r="X192" s="20"/>
      <x:c r="Y192" s="20"/>
      <x:c r="Z192" s="20"/>
    </x:row>
    <x:row r="193">
      <x:c r="A193" s="20"/>
      <x:c r="B193" s="20"/>
      <x:c r="C193" s="20"/>
      <x:c r="D193" s="20"/>
      <x:c r="E193" s="20"/>
      <x:c r="F193" s="20"/>
      <x:c r="G193" s="20"/>
      <x:c r="H193" s="20"/>
      <x:c r="I193" s="20"/>
      <x:c r="J193" s="20"/>
      <x:c r="K193" s="20"/>
      <x:c r="L193" s="20"/>
      <x:c r="M193" s="20"/>
      <x:c r="N193" s="20"/>
      <x:c r="O193" s="20"/>
      <x:c r="P193" s="20"/>
      <x:c r="Q193" s="20"/>
      <x:c r="R193" s="20"/>
      <x:c r="S193" s="20"/>
      <x:c r="T193" s="20"/>
      <x:c r="U193" s="20"/>
      <x:c r="V193" s="20"/>
      <x:c r="W193" s="20"/>
      <x:c r="X193" s="20"/>
      <x:c r="Y193" s="20"/>
      <x:c r="Z193" s="20"/>
    </x:row>
    <x:row r="194">
      <x:c r="A194" s="20"/>
      <x:c r="B194" s="20"/>
      <x:c r="C194" s="20"/>
      <x:c r="D194" s="20"/>
      <x:c r="E194" s="20"/>
      <x:c r="F194" s="20"/>
      <x:c r="G194" s="20"/>
      <x:c r="H194" s="20"/>
      <x:c r="I194" s="20"/>
      <x:c r="J194" s="20"/>
      <x:c r="K194" s="20"/>
      <x:c r="L194" s="20"/>
      <x:c r="M194" s="20"/>
      <x:c r="N194" s="20"/>
      <x:c r="O194" s="20"/>
      <x:c r="P194" s="20"/>
      <x:c r="Q194" s="20"/>
      <x:c r="R194" s="20"/>
      <x:c r="S194" s="20"/>
      <x:c r="T194" s="20"/>
      <x:c r="U194" s="20"/>
      <x:c r="V194" s="20"/>
      <x:c r="W194" s="20"/>
      <x:c r="X194" s="20"/>
      <x:c r="Y194" s="20"/>
      <x:c r="Z194" s="20"/>
    </x:row>
    <x:row r="195">
      <x:c r="A195" s="20"/>
      <x:c r="B195" s="20"/>
      <x:c r="C195" s="20"/>
      <x:c r="D195" s="20"/>
      <x:c r="E195" s="20"/>
      <x:c r="F195" s="20"/>
      <x:c r="G195" s="20"/>
      <x:c r="H195" s="20"/>
      <x:c r="I195" s="20"/>
      <x:c r="J195" s="20"/>
      <x:c r="K195" s="20"/>
      <x:c r="L195" s="20"/>
      <x:c r="M195" s="20"/>
      <x:c r="N195" s="20"/>
      <x:c r="O195" s="20"/>
      <x:c r="P195" s="20"/>
      <x:c r="Q195" s="20"/>
      <x:c r="R195" s="20"/>
      <x:c r="S195" s="20"/>
      <x:c r="T195" s="20"/>
      <x:c r="U195" s="20"/>
      <x:c r="V195" s="20"/>
      <x:c r="W195" s="20"/>
      <x:c r="X195" s="20"/>
      <x:c r="Y195" s="20"/>
      <x:c r="Z195" s="20"/>
    </x:row>
    <x:row r="196">
      <x:c r="A196" s="20"/>
      <x:c r="B196" s="20"/>
      <x:c r="C196" s="20"/>
      <x:c r="D196" s="20"/>
      <x:c r="E196" s="20"/>
      <x:c r="F196" s="20"/>
      <x:c r="G196" s="20"/>
      <x:c r="H196" s="20"/>
      <x:c r="I196" s="20"/>
      <x:c r="J196" s="20"/>
      <x:c r="K196" s="20"/>
      <x:c r="L196" s="20"/>
      <x:c r="M196" s="20"/>
      <x:c r="N196" s="20"/>
      <x:c r="O196" s="20"/>
      <x:c r="P196" s="20"/>
      <x:c r="Q196" s="20"/>
      <x:c r="R196" s="20"/>
      <x:c r="S196" s="20"/>
      <x:c r="T196" s="20"/>
      <x:c r="U196" s="20"/>
      <x:c r="V196" s="20"/>
      <x:c r="W196" s="20"/>
      <x:c r="X196" s="20"/>
      <x:c r="Y196" s="20"/>
      <x:c r="Z196" s="20"/>
    </x:row>
    <x:row r="197">
      <x:c r="A197" s="20"/>
      <x:c r="B197" s="20"/>
      <x:c r="C197" s="20"/>
      <x:c r="D197" s="20"/>
      <x:c r="E197" s="20"/>
      <x:c r="F197" s="20"/>
      <x:c r="G197" s="20"/>
      <x:c r="H197" s="20"/>
      <x:c r="I197" s="20"/>
      <x:c r="J197" s="20"/>
      <x:c r="K197" s="20"/>
      <x:c r="L197" s="20"/>
      <x:c r="M197" s="20"/>
      <x:c r="N197" s="20"/>
      <x:c r="O197" s="20"/>
      <x:c r="P197" s="20"/>
      <x:c r="Q197" s="20"/>
      <x:c r="R197" s="20"/>
      <x:c r="S197" s="20"/>
      <x:c r="T197" s="20"/>
      <x:c r="U197" s="20"/>
      <x:c r="V197" s="20"/>
      <x:c r="W197" s="20"/>
      <x:c r="X197" s="20"/>
      <x:c r="Y197" s="20"/>
      <x:c r="Z197" s="20"/>
    </x:row>
    <x:row r="198">
      <x:c r="A198" s="20"/>
      <x:c r="B198" s="20"/>
      <x:c r="C198" s="20"/>
      <x:c r="D198" s="20"/>
      <x:c r="E198" s="20"/>
      <x:c r="F198" s="20"/>
      <x:c r="G198" s="20"/>
      <x:c r="H198" s="20"/>
      <x:c r="I198" s="20"/>
      <x:c r="J198" s="20"/>
      <x:c r="K198" s="20"/>
      <x:c r="L198" s="20"/>
      <x:c r="M198" s="20"/>
      <x:c r="N198" s="20"/>
      <x:c r="O198" s="20"/>
      <x:c r="P198" s="20"/>
      <x:c r="Q198" s="20"/>
      <x:c r="R198" s="20"/>
      <x:c r="S198" s="20"/>
      <x:c r="T198" s="20"/>
      <x:c r="U198" s="20"/>
      <x:c r="V198" s="20"/>
      <x:c r="W198" s="20"/>
      <x:c r="X198" s="20"/>
      <x:c r="Y198" s="20"/>
      <x:c r="Z198" s="20"/>
    </x:row>
    <x:row r="199">
      <x:c r="A199" s="20"/>
      <x:c r="B199" s="20"/>
      <x:c r="C199" s="20"/>
      <x:c r="D199" s="20"/>
      <x:c r="E199" s="20"/>
      <x:c r="F199" s="20"/>
      <x:c r="G199" s="20"/>
      <x:c r="H199" s="20"/>
      <x:c r="I199" s="20"/>
      <x:c r="J199" s="20"/>
      <x:c r="K199" s="20"/>
      <x:c r="L199" s="20"/>
      <x:c r="M199" s="20"/>
      <x:c r="N199" s="20"/>
      <x:c r="O199" s="20"/>
      <x:c r="P199" s="20"/>
      <x:c r="Q199" s="20"/>
      <x:c r="R199" s="20"/>
      <x:c r="S199" s="20"/>
      <x:c r="T199" s="20"/>
      <x:c r="U199" s="20"/>
      <x:c r="V199" s="20"/>
      <x:c r="W199" s="20"/>
      <x:c r="X199" s="20"/>
      <x:c r="Y199" s="20"/>
      <x:c r="Z199" s="20"/>
    </x:row>
    <x:row r="200">
      <x:c r="A200" s="20"/>
      <x:c r="B200" s="20"/>
      <x:c r="C200" s="20"/>
      <x:c r="D200" s="20"/>
      <x:c r="E200" s="20"/>
      <x:c r="F200" s="20"/>
      <x:c r="G200" s="20"/>
      <x:c r="H200" s="20"/>
      <x:c r="I200" s="20"/>
      <x:c r="J200" s="20"/>
      <x:c r="K200" s="20"/>
      <x:c r="L200" s="20"/>
      <x:c r="M200" s="20"/>
      <x:c r="N200" s="20"/>
      <x:c r="O200" s="20"/>
      <x:c r="P200" s="20"/>
      <x:c r="Q200" s="20"/>
      <x:c r="R200" s="20"/>
      <x:c r="S200" s="20"/>
      <x:c r="T200" s="20"/>
      <x:c r="U200" s="20"/>
      <x:c r="V200" s="20"/>
      <x:c r="W200" s="20"/>
      <x:c r="X200" s="20"/>
      <x:c r="Y200" s="20"/>
      <x:c r="Z200" s="20"/>
    </x:row>
  </x:sheetData>
  <x:mergeCells>
    <x:mergeCell ref="A1:F1"/>
    <x:mergeCell ref="B3:F3"/>
    <x:mergeCell ref="B5:F5"/>
    <x:mergeCell ref="B7:F7"/>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0" hidden="0" customWidth="1"/>
    <x:col min="3" max="3" width="24" hidden="0" customWidth="1"/>
    <x:col min="4" max="4" width="34" hidden="0" customWidth="1"/>
    <x:col min="5" max="5" width="18" hidden="0" customWidth="1"/>
    <x:col min="6" max="6" width="18" hidden="0" customWidth="1"/>
    <x:col min="7" max="7" width="18" hidden="0" customWidth="1"/>
    <x:col min="8" max="8" width="48" hidden="0" customWidth="1"/>
    <x:col min="9" max="9" width="46" hidden="0" customWidth="1"/>
    <x:col min="10" max="10" width="52" hidden="0" customWidth="1"/>
  </x:cols>
  <x:sheetData>
    <x:row r="1">
      <x:c r="A1" s="6" t="str">
        <x:v>Category</x:v>
      </x:c>
      <x:c r="B1" s="6" t="str">
        <x:v>Variable / Measure</x:v>
      </x:c>
      <x:c r="C1" s="6" t="str">
        <x:v>Series / ID</x:v>
      </x:c>
      <x:c r="D1" s="6" t="str">
        <x:v>Source Organization</x:v>
      </x:c>
      <x:c r="E1" s="6" t="str">
        <x:v>Frequency</x:v>
      </x:c>
      <x:c r="F1" s="6" t="str">
        <x:v>Coverage Used</x:v>
      </x:c>
      <x:c r="G1" s="6" t="str">
        <x:v>Use Class</x:v>
      </x:c>
      <x:c r="H1" s="6" t="str">
        <x:v>Why It Belongs</x:v>
      </x:c>
      <x:c r="I1" s="6" t="str">
        <x:v>Exact URL</x:v>
      </x:c>
      <x:c r="J1" s="6" t="str">
        <x:v>Notes / Transformation</x:v>
      </x:c>
      <x:c r="K1" s="20"/>
      <x:c r="L1" s="20"/>
      <x:c r="M1" s="20"/>
      <x:c r="N1" s="20"/>
      <x:c r="O1" s="20"/>
      <x:c r="P1" s="20"/>
      <x:c r="Q1" s="20"/>
      <x:c r="R1" s="20"/>
      <x:c r="S1" s="20"/>
      <x:c r="T1" s="20"/>
      <x:c r="U1" s="20"/>
      <x:c r="V1" s="20"/>
      <x:c r="W1" s="20"/>
      <x:c r="X1" s="20"/>
      <x:c r="Y1" s="20"/>
      <x:c r="Z1" s="20"/>
    </x:row>
    <x:row r="2">
      <x:c r="A2" s="20" t="str">
        <x:v>Plastics</x:v>
      </x:c>
      <x:c r="B2" s="20" t="str">
        <x:v>Thermoplastic resins and plastics materials</x:v>
      </x:c>
      <x:c r="C2" s="20" t="str">
        <x:v>WPU0662</x:v>
      </x:c>
      <x:c r="D2" s="20" t="str">
        <x:v>U.S. Bureau of Labor Statistics via FRED</x:v>
      </x:c>
      <x:c r="E2" s="20" t="str">
        <x:v>Monthly</x:v>
      </x:c>
      <x:c r="F2" s="20" t="str">
        <x:v>2019-01 to 2026-08</x:v>
      </x:c>
      <x:c r="G2" s="20" t="str">
        <x:v>Primary proxy</x:v>
      </x:c>
      <x:c r="H2" s="20" t="str">
        <x:v>Broad thermoplastic resin cost environment; relevant to molded figure parts</x:v>
      </x:c>
      <x:c r="I2" s="20" t="str">
        <x:v>https://fred.stlouisfed.org/series/WPU0662</x:v>
      </x:c>
      <x:c r="J2" s="20" t="str">
        <x:v>Use raw monthly index; normalize later to Jan-2019=100 for visual comparison.</x:v>
      </x:c>
      <x:c r="K2" s="20"/>
      <x:c r="L2" s="20"/>
      <x:c r="M2" s="20"/>
      <x:c r="N2" s="20"/>
      <x:c r="O2" s="20"/>
      <x:c r="P2" s="20"/>
      <x:c r="Q2" s="20"/>
      <x:c r="R2" s="20"/>
      <x:c r="S2" s="20"/>
      <x:c r="T2" s="20"/>
      <x:c r="U2" s="20"/>
      <x:c r="V2" s="20"/>
      <x:c r="W2" s="20"/>
      <x:c r="X2" s="20"/>
      <x:c r="Y2" s="20"/>
      <x:c r="Z2" s="20"/>
    </x:row>
    <x:row r="3">
      <x:c r="A3" s="20" t="str">
        <x:v>Tooling</x:v>
      </x:c>
      <x:c r="B3" s="20" t="str">
        <x:v>Special dies, tools, jigs, and fixtures</x:v>
      </x:c>
      <x:c r="C3" s="20" t="str">
        <x:v>PCU3335143335140</x:v>
      </x:c>
      <x:c r="D3" s="20" t="str">
        <x:v>U.S. Bureau of Labor Statistics via FRED</x:v>
      </x:c>
      <x:c r="E3" s="20" t="str">
        <x:v>Monthly</x:v>
      </x:c>
      <x:c r="F3" s="20" t="str">
        <x:v>2019-01 to 2026-08</x:v>
      </x:c>
      <x:c r="G3" s="20" t="str">
        <x:v>Primary proxy</x:v>
      </x:c>
      <x:c r="H3" s="20" t="str">
        <x:v>External tooling/die cost environment; not Hasbro-specific mold cost</x:v>
      </x:c>
      <x:c r="I3" s="20" t="str">
        <x:v>https://fred.stlouisfed.org/series/PCU3335143335140</x:v>
      </x:c>
      <x:c r="J3" s="20" t="str">
        <x:v>Treat as tooling-industry proxy only.</x:v>
      </x:c>
      <x:c r="K3" s="20"/>
      <x:c r="L3" s="20"/>
      <x:c r="M3" s="20"/>
      <x:c r="N3" s="20"/>
      <x:c r="O3" s="20"/>
      <x:c r="P3" s="20"/>
      <x:c r="Q3" s="20"/>
      <x:c r="R3" s="20"/>
      <x:c r="S3" s="20"/>
      <x:c r="T3" s="20"/>
      <x:c r="U3" s="20"/>
      <x:c r="V3" s="20"/>
      <x:c r="W3" s="20"/>
      <x:c r="X3" s="20"/>
      <x:c r="Y3" s="20"/>
      <x:c r="Z3" s="20"/>
    </x:row>
    <x:row r="4">
      <x:c r="A4" s="20" t="str">
        <x:v>Decoration</x:v>
      </x:c>
      <x:c r="B4" s="20" t="str">
        <x:v>Paints and allied products</x:v>
      </x:c>
      <x:c r="C4" s="20" t="str">
        <x:v>WPU062</x:v>
      </x:c>
      <x:c r="D4" s="20" t="str">
        <x:v>U.S. Bureau of Labor Statistics via FRED</x:v>
      </x:c>
      <x:c r="E4" s="20" t="str">
        <x:v>Monthly</x:v>
      </x:c>
      <x:c r="F4" s="20" t="str">
        <x:v>2019-01 to 2026-08</x:v>
      </x:c>
      <x:c r="G4" s="20" t="str">
        <x:v>Primary proxy</x:v>
      </x:c>
      <x:c r="H4" s="20" t="str">
        <x:v>Paint/coating input environment for figure deco</x:v>
      </x:c>
      <x:c r="I4" s="20" t="str">
        <x:v>https://fred.stlouisfed.org/series/WPU062</x:v>
      </x:c>
      <x:c r="J4" s="20" t="str">
        <x:v>Broad paint index; not a direct measure of Hasbro's paint procurement.</x:v>
      </x:c>
      <x:c r="K4" s="20"/>
      <x:c r="L4" s="20"/>
      <x:c r="M4" s="20"/>
      <x:c r="N4" s="20"/>
      <x:c r="O4" s="20"/>
      <x:c r="P4" s="20"/>
      <x:c r="Q4" s="20"/>
      <x:c r="R4" s="20"/>
      <x:c r="S4" s="20"/>
      <x:c r="T4" s="20"/>
      <x:c r="U4" s="20"/>
      <x:c r="V4" s="20"/>
      <x:c r="W4" s="20"/>
      <x:c r="X4" s="20"/>
      <x:c r="Y4" s="20"/>
      <x:c r="Z4" s="20"/>
    </x:row>
    <x:row r="5">
      <x:c r="A5" s="20" t="str">
        <x:v>Decoration</x:v>
      </x:c>
      <x:c r="B5" s="20" t="str">
        <x:v>Synthetic organic pigments, lakes, and toners</x:v>
      </x:c>
      <x:c r="C5" s="20" t="str">
        <x:v>PCU325130325130R9</x:v>
      </x:c>
      <x:c r="D5" s="20" t="str">
        <x:v>U.S. Bureau of Labor Statistics via FRED</x:v>
      </x:c>
      <x:c r="E5" s="20" t="str">
        <x:v>Monthly</x:v>
      </x:c>
      <x:c r="F5" s="20" t="str">
        <x:v>2019-01 to 2026-05 available in table reviewed</x:v>
      </x:c>
      <x:c r="G5" s="20" t="str">
        <x:v>Secondary proxy</x:v>
      </x:c>
      <x:c r="H5" s="20" t="str">
        <x:v>Colorant/pigment input environment</x:v>
      </x:c>
      <x:c r="I5" s="20" t="str">
        <x:v>https://fred.stlouisfed.org/series/PCU325130325130R9</x:v>
      </x:c>
      <x:c r="J5" s="20" t="str">
        <x:v>Keep secondary because most recent table reviewed is incomplete versus other series.</x:v>
      </x:c>
      <x:c r="K5" s="20"/>
      <x:c r="L5" s="20"/>
      <x:c r="M5" s="20"/>
      <x:c r="N5" s="20"/>
      <x:c r="O5" s="20"/>
      <x:c r="P5" s="20"/>
      <x:c r="Q5" s="20"/>
      <x:c r="R5" s="20"/>
      <x:c r="S5" s="20"/>
      <x:c r="T5" s="20"/>
      <x:c r="U5" s="20"/>
      <x:c r="V5" s="20"/>
      <x:c r="W5" s="20"/>
      <x:c r="X5" s="20"/>
      <x:c r="Y5" s="20"/>
      <x:c r="Z5" s="20"/>
    </x:row>
    <x:row r="6">
      <x:c r="A6" s="20" t="str">
        <x:v>Decoration / Packaging</x:v>
      </x:c>
      <x:c r="B6" s="20" t="str">
        <x:v>Printing ink</x:v>
      </x:c>
      <x:c r="C6" s="20" t="str">
        <x:v>WPU06790919</x:v>
      </x:c>
      <x:c r="D6" s="20" t="str">
        <x:v>U.S. Bureau of Labor Statistics via FRED</x:v>
      </x:c>
      <x:c r="E6" s="20" t="str">
        <x:v>Monthly</x:v>
      </x:c>
      <x:c r="F6" s="20" t="str">
        <x:v>2019-01 to 2026-08</x:v>
      </x:c>
      <x:c r="G6" s="20" t="str">
        <x:v>Primary proxy</x:v>
      </x:c>
      <x:c r="H6" s="20" t="str">
        <x:v>Relevant to printed packaging and certain deco/printing operations</x:v>
      </x:c>
      <x:c r="I6" s="20" t="str">
        <x:v>https://fred.stlouisfed.org/series/WPU06790919</x:v>
      </x:c>
      <x:c r="J6" s="20" t="str">
        <x:v>Normalize later to Jan-2019=100.</x:v>
      </x:c>
      <x:c r="K6" s="20"/>
      <x:c r="L6" s="20"/>
      <x:c r="M6" s="20"/>
      <x:c r="N6" s="20"/>
      <x:c r="O6" s="20"/>
      <x:c r="P6" s="20"/>
      <x:c r="Q6" s="20"/>
      <x:c r="R6" s="20"/>
      <x:c r="S6" s="20"/>
      <x:c r="T6" s="20"/>
      <x:c r="U6" s="20"/>
      <x:c r="V6" s="20"/>
      <x:c r="W6" s="20"/>
      <x:c r="X6" s="20"/>
      <x:c r="Y6" s="20"/>
      <x:c r="Z6" s="20"/>
    </x:row>
    <x:row r="7">
      <x:c r="A7" s="20" t="str">
        <x:v>Assembly</x:v>
      </x:c>
      <x:c r="B7" s="20" t="str">
        <x:v>Adhesives and sealants</x:v>
      </x:c>
      <x:c r="C7" s="20" t="str">
        <x:v>WPU067904</x:v>
      </x:c>
      <x:c r="D7" s="20" t="str">
        <x:v>U.S. Bureau of Labor Statistics via FRED</x:v>
      </x:c>
      <x:c r="E7" s="20" t="str">
        <x:v>Monthly</x:v>
      </x:c>
      <x:c r="F7" s="20" t="str">
        <x:v>2019-01 to 2026-08</x:v>
      </x:c>
      <x:c r="G7" s="20" t="str">
        <x:v>Primary proxy</x:v>
      </x:c>
      <x:c r="H7" s="20" t="str">
        <x:v>Physical assembly/packaging adhesive cost environment</x:v>
      </x:c>
      <x:c r="I7" s="20" t="str">
        <x:v>https://fred.stlouisfed.org/series/WPU067904</x:v>
      </x:c>
      <x:c r="J7" s="20" t="str">
        <x:v>Use only as a production-input proxy.</x:v>
      </x:c>
      <x:c r="K7" s="20"/>
      <x:c r="L7" s="20"/>
      <x:c r="M7" s="20"/>
      <x:c r="N7" s="20"/>
      <x:c r="O7" s="20"/>
      <x:c r="P7" s="20"/>
      <x:c r="Q7" s="20"/>
      <x:c r="R7" s="20"/>
      <x:c r="S7" s="20"/>
      <x:c r="T7" s="20"/>
      <x:c r="U7" s="20"/>
      <x:c r="V7" s="20"/>
      <x:c r="W7" s="20"/>
      <x:c r="X7" s="20"/>
      <x:c r="Y7" s="20"/>
      <x:c r="Z7" s="20"/>
    </x:row>
    <x:row r="8">
      <x:c r="A8" s="20" t="str">
        <x:v>Packaging</x:v>
      </x:c>
      <x:c r="B8" s="20" t="str">
        <x:v>Folding paperboard boxes, packaging, and packaging components</x:v>
      </x:c>
      <x:c r="C8" s="20" t="str">
        <x:v>WPU09150336</x:v>
      </x:c>
      <x:c r="D8" s="20" t="str">
        <x:v>U.S. Bureau of Labor Statistics via FRED</x:v>
      </x:c>
      <x:c r="E8" s="20" t="str">
        <x:v>Monthly</x:v>
      </x:c>
      <x:c r="F8" s="20" t="str">
        <x:v>2019-01 to 2026-08</x:v>
      </x:c>
      <x:c r="G8" s="20" t="str">
        <x:v>Primary proxy</x:v>
      </x:c>
      <x:c r="H8" s="20" t="str">
        <x:v>Retail box/cardboard packaging input environment</x:v>
      </x:c>
      <x:c r="I8" s="20" t="str">
        <x:v>https://fred.stlouisfed.org/series/WPU09150336</x:v>
      </x:c>
      <x:c r="J8" s="20" t="str">
        <x:v>Windowless packaging period kept contextual unless shown to matter.</x:v>
      </x:c>
      <x:c r="K8" s="20"/>
      <x:c r="L8" s="20"/>
      <x:c r="M8" s="20"/>
      <x:c r="N8" s="20"/>
      <x:c r="O8" s="20"/>
      <x:c r="P8" s="20"/>
      <x:c r="Q8" s="20"/>
      <x:c r="R8" s="20"/>
      <x:c r="S8" s="20"/>
      <x:c r="T8" s="20"/>
      <x:c r="U8" s="20"/>
      <x:c r="V8" s="20"/>
      <x:c r="W8" s="20"/>
      <x:c r="X8" s="20"/>
      <x:c r="Y8" s="20"/>
      <x:c r="Z8" s="20"/>
    </x:row>
    <x:row r="9">
      <x:c r="A9" s="20" t="str">
        <x:v>Packaging / Inbound logistics</x:v>
      </x:c>
      <x:c r="B9" s="20" t="str">
        <x:v>Corrugated shipping containers</x:v>
      </x:c>
      <x:c r="C9" s="20" t="str">
        <x:v>WPU09150301</x:v>
      </x:c>
      <x:c r="D9" s="20" t="str">
        <x:v>U.S. Bureau of Labor Statistics via FRED</x:v>
      </x:c>
      <x:c r="E9" s="20" t="str">
        <x:v>Monthly</x:v>
      </x:c>
      <x:c r="F9" s="20" t="str">
        <x:v>2019-01 to 2026-08</x:v>
      </x:c>
      <x:c r="G9" s="20" t="str">
        <x:v>Primary proxy</x:v>
      </x:c>
      <x:c r="H9" s="20" t="str">
        <x:v>Master cartons / transport cartons used before retail sale</x:v>
      </x:c>
      <x:c r="I9" s="20" t="str">
        <x:v>https://fred.stlouisfed.org/series/WPU09150301</x:v>
      </x:c>
      <x:c r="J9" s="20" t="str">
        <x:v>This is production/distribution packaging, not customer parcel delivery.</x:v>
      </x:c>
      <x:c r="K9" s="20"/>
      <x:c r="L9" s="20"/>
      <x:c r="M9" s="20"/>
      <x:c r="N9" s="20"/>
      <x:c r="O9" s="20"/>
      <x:c r="P9" s="20"/>
      <x:c r="Q9" s="20"/>
      <x:c r="R9" s="20"/>
      <x:c r="S9" s="20"/>
      <x:c r="T9" s="20"/>
      <x:c r="U9" s="20"/>
      <x:c r="V9" s="20"/>
      <x:c r="W9" s="20"/>
      <x:c r="X9" s="20"/>
      <x:c r="Y9" s="20"/>
      <x:c r="Z9" s="20"/>
    </x:row>
    <x:row r="10">
      <x:c r="A10" s="20" t="str">
        <x:v>Currency</x:v>
      </x:c>
      <x:c r="B10" s="20" t="str">
        <x:v>Chinese yuan per U.S. dollar, monthly average</x:v>
      </x:c>
      <x:c r="C10" s="20" t="str">
        <x:v>EXCHUS</x:v>
      </x:c>
      <x:c r="D10" s="20" t="str">
        <x:v>Federal Reserve Board via FRED</x:v>
      </x:c>
      <x:c r="E10" s="20" t="str">
        <x:v>Monthly</x:v>
      </x:c>
      <x:c r="F10" s="20" t="str">
        <x:v>2019-01 to 2026-08</x:v>
      </x:c>
      <x:c r="G10" s="20" t="str">
        <x:v>Control / proxy</x:v>
      </x:c>
      <x:c r="H10" s="20" t="str">
        <x:v>Exchange-rate environment affecting China-linked manufacturing costs</x:v>
      </x:c>
      <x:c r="I10" s="20" t="str">
        <x:v>https://fred.stlouisfed.org/series/EXCHUS</x:v>
      </x:c>
      <x:c r="J10" s="20" t="str">
        <x:v>Units are CNY per USD; direction must be interpreted carefully.</x:v>
      </x:c>
      <x:c r="K10" s="20"/>
      <x:c r="L10" s="20"/>
      <x:c r="M10" s="20"/>
      <x:c r="N10" s="20"/>
      <x:c r="O10" s="20"/>
      <x:c r="P10" s="20"/>
      <x:c r="Q10" s="20"/>
      <x:c r="R10" s="20"/>
      <x:c r="S10" s="20"/>
      <x:c r="T10" s="20"/>
      <x:c r="U10" s="20"/>
      <x:c r="V10" s="20"/>
      <x:c r="W10" s="20"/>
      <x:c r="X10" s="20"/>
      <x:c r="Y10" s="20"/>
      <x:c r="Z10" s="20"/>
    </x:row>
    <x:row r="11">
      <x:c r="A11" s="20" t="str">
        <x:v>Labor</x:v>
      </x:c>
      <x:c r="B11" s="20" t="str">
        <x:v>Production/manufacturing-related employee wages, China</x:v>
      </x:c>
      <x:c r="C11" s="20" t="str">
        <x:v>NBS enterprise wage tables</x:v>
      </x:c>
      <x:c r="D11" s="20" t="str">
        <x:v>National Bureau of Statistics of China</x:v>
      </x:c>
      <x:c r="E11" s="20" t="str">
        <x:v>Annual</x:v>
      </x:c>
      <x:c r="F11" s="20" t="str">
        <x:v>2019 and 2025 endpoints validated</x:v>
      </x:c>
      <x:c r="G11" s="20" t="str">
        <x:v>Candidate control</x:v>
      </x:c>
      <x:c r="H11" s="20" t="str">
        <x:v>Broad manufacturing-labor trend in a major production country</x:v>
      </x:c>
      <x:c r="I11" s="20" t="str">
        <x:v>https://www.stats.gov.cn/english/PressRelease/202005/t20200518_1746069.html</x:v>
      </x:c>
      <x:c r="J11" s="20" t="str">
        <x:v>2019 endpoint = 59,586 yuan for production/manufacturing-related personnel in enterprises above designated size.</x:v>
      </x:c>
      <x:c r="K11" s="20"/>
      <x:c r="L11" s="20"/>
      <x:c r="M11" s="20"/>
      <x:c r="N11" s="20"/>
      <x:c r="O11" s="20"/>
      <x:c r="P11" s="20"/>
      <x:c r="Q11" s="20"/>
      <x:c r="R11" s="20"/>
      <x:c r="S11" s="20"/>
      <x:c r="T11" s="20"/>
      <x:c r="U11" s="20"/>
      <x:c r="V11" s="20"/>
      <x:c r="W11" s="20"/>
      <x:c r="X11" s="20"/>
      <x:c r="Y11" s="20"/>
      <x:c r="Z11" s="20"/>
    </x:row>
    <x:row r="12">
      <x:c r="A12" s="20" t="str">
        <x:v>Labor</x:v>
      </x:c>
      <x:c r="B12" s="20" t="str">
        <x:v>Production/manufacturing-related employee wages, China</x:v>
      </x:c>
      <x:c r="C12" s="20" t="str">
        <x:v>NBS enterprise wage tables</x:v>
      </x:c>
      <x:c r="D12" s="20" t="str">
        <x:v>National Bureau of Statistics of China</x:v>
      </x:c>
      <x:c r="E12" s="20" t="str">
        <x:v>Annual</x:v>
      </x:c>
      <x:c r="F12" s="20" t="str">
        <x:v>2025 endpoint validated</x:v>
      </x:c>
      <x:c r="G12" s="20" t="str">
        <x:v>Candidate control</x:v>
      </x:c>
      <x:c r="H12" s="20" t="str">
        <x:v>Latest comparable broad production-worker wage endpoint reviewed</x:v>
      </x:c>
      <x:c r="I12" s="20" t="str">
        <x:v>https://www.stats.gov.cn/english/PressRelease/202605/t20260518_1963740.html</x:v>
      </x:c>
      <x:c r="J12" s="20" t="str">
        <x:v>2025 endpoint = 80,739 yuan for production/manufacturing-related personnel in enterprises above designated size.</x:v>
      </x:c>
      <x:c r="K12" s="20"/>
      <x:c r="L12" s="20"/>
      <x:c r="M12" s="20"/>
      <x:c r="N12" s="20"/>
      <x:c r="O12" s="20"/>
      <x:c r="P12" s="20"/>
      <x:c r="Q12" s="20"/>
      <x:c r="R12" s="20"/>
      <x:c r="S12" s="20"/>
      <x:c r="T12" s="20"/>
      <x:c r="U12" s="20"/>
      <x:c r="V12" s="20"/>
      <x:c r="W12" s="20"/>
      <x:c r="X12" s="20"/>
      <x:c r="Y12" s="20"/>
      <x:c r="Z12" s="20"/>
    </x:row>
    <x:row r="13">
      <x:c r="A13" s="20" t="str">
        <x:v>Inbound logistics</x:v>
      </x:c>
      <x:c r="B13" s="20" t="str">
        <x:v>Global Supply Chain Pressure Index</x:v>
      </x:c>
      <x:c r="C13" s="20" t="str">
        <x:v>GSCPI</x:v>
      </x:c>
      <x:c r="D13" s="20" t="str">
        <x:v>Federal Reserve Bank of New York</x:v>
      </x:c>
      <x:c r="E13" s="20" t="str">
        <x:v>Monthly</x:v>
      </x:c>
      <x:c r="F13" s="20" t="str">
        <x:v>2019–2026</x:v>
      </x:c>
      <x:c r="G13" s="20" t="str">
        <x:v>Secondary / robustness proxy</x:v>
      </x:c>
      <x:c r="H13" s="20" t="str">
        <x:v>Tracks global transportation costs and manufacturing supply-chain pressure</x:v>
      </x:c>
      <x:c r="I13" s="20" t="str">
        <x:v>https://www.newyorkfed.org/research/policy/gscpi</x:v>
      </x:c>
      <x:c r="J13" s="20" t="str">
        <x:v>Do not treat as customer shipping. Index is centered around zero, so do not rebase to Jan-2019=100 mechanically.</x:v>
      </x:c>
      <x:c r="K13" s="20"/>
      <x:c r="L13" s="20"/>
      <x:c r="M13" s="20"/>
      <x:c r="N13" s="20"/>
      <x:c r="O13" s="20"/>
      <x:c r="P13" s="20"/>
      <x:c r="Q13" s="20"/>
      <x:c r="R13" s="20"/>
      <x:c r="S13" s="20"/>
      <x:c r="T13" s="20"/>
      <x:c r="U13" s="20"/>
      <x:c r="V13" s="20"/>
      <x:c r="W13" s="20"/>
      <x:c r="X13" s="20"/>
      <x:c r="Y13" s="20"/>
      <x:c r="Z13" s="20"/>
    </x:row>
    <x:row r="14">
      <x:c r="A14" s="20" t="str">
        <x:v>MSRP transition</x:v>
      </x:c>
      <x:c r="B14" s="20" t="str">
        <x:v>2021 retail price implementation timing</x:v>
      </x:c>
      <x:c r="C14" s="20" t="str">
        <x:v>Hasbro Q2 2021 Earnings Management Remarks</x:v>
      </x:c>
      <x:c r="D14" s="20" t="str">
        <x:v>Hasbro, Inc.</x:v>
      </x:c>
      <x:c r="E14" s="20" t="str">
        <x:v>Quarterly remarks</x:v>
      </x:c>
      <x:c r="F14" s="20" t="str">
        <x:v>Q3 2021 implementation</x:v>
      </x:c>
      <x:c r="G14" s="20" t="str">
        <x:v>Primary corporate</x:v>
      </x:c>
      <x:c r="H14" s="20" t="str">
        <x:v>Hasbro states price increases were being implemented in Q3 and expected to be fully realized by Q4.</x:v>
      </x:c>
      <x:c r="I14" s="20" t="str">
        <x:v>https://hasbro.gcs-web.com/static-files/e58ba37c-69cc-47bd-be58-b07819f91681</x:v>
      </x:c>
      <x:c r="J14" s="20" t="str">
        <x:v>Used to set Jul-2021 analytical retail-regime breakpoint.</x:v>
      </x:c>
      <x:c r="K14" s="20"/>
      <x:c r="L14" s="20"/>
      <x:c r="M14" s="20"/>
      <x:c r="N14" s="20"/>
      <x:c r="O14" s="20"/>
      <x:c r="P14" s="20"/>
      <x:c r="Q14" s="20"/>
      <x:c r="R14" s="20"/>
      <x:c r="S14" s="20"/>
      <x:c r="T14" s="20"/>
      <x:c r="U14" s="20"/>
      <x:c r="V14" s="20"/>
      <x:c r="W14" s="20"/>
      <x:c r="X14" s="20"/>
      <x:c r="Y14" s="20"/>
      <x:c r="Z14" s="20"/>
    </x:row>
    <x:row r="15">
      <x:c r="A15" s="20" t="str">
        <x:v>MSRP transition</x:v>
      </x:c>
      <x:c r="B15" s="20" t="str">
        <x:v>2022 retail price implementation timing</x:v>
      </x:c>
      <x:c r="C15" s="20" t="str">
        <x:v>Hasbro Q4 2021 Earnings Management Remarks</x:v>
      </x:c>
      <x:c r="D15" s="20" t="str">
        <x:v>Hasbro, Inc.</x:v>
      </x:c>
      <x:c r="E15" s="20" t="str">
        <x:v>Quarterly remarks</x:v>
      </x:c>
      <x:c r="F15" s="20" t="str">
        <x:v>Q2 2022 implementation</x:v>
      </x:c>
      <x:c r="G15" s="20" t="str">
        <x:v>Primary corporate</x:v>
      </x:c>
      <x:c r="H15" s="20" t="str">
        <x:v>Hasbro states additional price increases were scheduled to take effect in Q2 2022.</x:v>
      </x:c>
      <x:c r="I15" s="20" t="str">
        <x:v>https://investor.hasbro.com/static-files/52136bc2-ff14-4bb5-9290-482b28fd5220</x:v>
      </x:c>
      <x:c r="J15" s="20" t="str">
        <x:v>Used to set Apr-2022 analytical retail-regime breakpoint.</x:v>
      </x:c>
      <x:c r="K15" s="20"/>
      <x:c r="L15" s="20"/>
      <x:c r="M15" s="20"/>
      <x:c r="N15" s="20"/>
      <x:c r="O15" s="20"/>
      <x:c r="P15" s="20"/>
      <x:c r="Q15" s="20"/>
      <x:c r="R15" s="20"/>
      <x:c r="S15" s="20"/>
      <x:c r="T15" s="20"/>
      <x:c r="U15" s="20"/>
      <x:c r="V15" s="20"/>
      <x:c r="W15" s="20"/>
      <x:c r="X15" s="20"/>
      <x:c r="Y15" s="20"/>
      <x:c r="Z15" s="20"/>
    </x:row>
    <x:row r="16">
      <x:c r="A16" s="20" t="str">
        <x:v>MSRP transition</x:v>
      </x:c>
      <x:c r="B16" s="20" t="str">
        <x:v>Spring 2021 standard Marvel Legends MSRP</x:v>
      </x:c>
      <x:c r="C16" s="20" t="str">
        <x:v>Villains / Xemnu wave product copy</x:v>
      </x:c>
      <x:c r="D16" s="20" t="str">
        <x:v>Hasbro product copy via ToyArk</x:v>
      </x:c>
      <x:c r="E16" s="20" t="str">
        <x:v>Product announcement</x:v>
      </x:c>
      <x:c r="F16" s="20" t="str">
        <x:v>Spring 2021</x:v>
      </x:c>
      <x:c r="G16" s="20" t="str">
        <x:v>Primary-product evidence</x:v>
      </x:c>
      <x:c r="H16" s="20" t="str">
        <x:v>Standard 6-inch figures listed at $19.99.</x:v>
      </x:c>
      <x:c r="I16" s="20" t="str">
        <x:v>https://www.toyark.com/2021/02/19/marvel-legends-cosmic-and-villains-wave-official-images-and-details-418401</x:v>
      </x:c>
      <x:c r="J16" s="20" t="str">
        <x:v>Confirms $19.99 remained active immediately before the 2021 increase.</x:v>
      </x:c>
      <x:c r="K16" s="20"/>
      <x:c r="L16" s="20"/>
      <x:c r="M16" s="20"/>
      <x:c r="N16" s="20"/>
      <x:c r="O16" s="20"/>
      <x:c r="P16" s="20"/>
      <x:c r="Q16" s="20"/>
      <x:c r="R16" s="20"/>
      <x:c r="S16" s="20"/>
      <x:c r="T16" s="20"/>
      <x:c r="U16" s="20"/>
      <x:c r="V16" s="20"/>
      <x:c r="W16" s="20"/>
      <x:c r="X16" s="20"/>
      <x:c r="Y16" s="20"/>
      <x:c r="Z16" s="20"/>
    </x:row>
    <x:row r="17">
      <x:c r="A17" s="20" t="str">
        <x:v>MSRP transition</x:v>
      </x:c>
      <x:c r="B17" s="20" t="str">
        <x:v>Summer 2021 standard Marvel Legends MSRP</x:v>
      </x:c>
      <x:c r="C17" s="20" t="str">
        <x:v>Iron Man / Ursa Major wave product copy</x:v>
      </x:c>
      <x:c r="D17" s="20" t="str">
        <x:v>Hasbro product copy via MCUCollector24</x:v>
      </x:c>
      <x:c r="E17" s="20" t="str">
        <x:v>Product announcement</x:v>
      </x:c>
      <x:c r="F17" s="20" t="str">
        <x:v>Summer 2021</x:v>
      </x:c>
      <x:c r="G17" s="20" t="str">
        <x:v>Primary-product evidence</x:v>
      </x:c>
      <x:c r="H17" s="20" t="str">
        <x:v>Standard 6-inch assortment listed at $22.99.</x:v>
      </x:c>
      <x:c r="I17" s="20" t="str">
        <x:v>https://www.mcucollector.com/news/hasbro-pulse-fan-fest-2021-marvel-legends</x:v>
      </x:c>
      <x:c r="J17" s="20" t="str">
        <x:v>Shows new MSRP before full Q3 implementation.</x:v>
      </x:c>
      <x:c r="K17" s="20"/>
      <x:c r="L17" s="20"/>
      <x:c r="M17" s="20"/>
      <x:c r="N17" s="20"/>
      <x:c r="O17" s="20"/>
      <x:c r="P17" s="20"/>
      <x:c r="Q17" s="20"/>
      <x:c r="R17" s="20"/>
      <x:c r="S17" s="20"/>
      <x:c r="T17" s="20"/>
      <x:c r="U17" s="20"/>
      <x:c r="V17" s="20"/>
      <x:c r="W17" s="20"/>
      <x:c r="X17" s="20"/>
      <x:c r="Y17" s="20"/>
      <x:c r="Z17" s="20"/>
    </x:row>
    <x:row r="18">
      <x:c r="A18" s="20" t="str">
        <x:v>MSRP transition</x:v>
      </x:c>
      <x:c r="B18" s="20" t="str">
        <x:v>Early 2022 overlap at old MSRP</x:v>
      </x:c>
      <x:c r="C18" s="20" t="str">
        <x:v>Doctor Strange / Rintrah wave</x:v>
      </x:c>
      <x:c r="D18" s="20" t="str">
        <x:v>AIPT</x:v>
      </x:c>
      <x:c r="E18" s="20" t="str">
        <x:v>Product announcement</x:v>
      </x:c>
      <x:c r="F18" s="20" t="str">
        <x:v>Expected Apr 2022</x:v>
      </x:c>
      <x:c r="G18" s="20" t="str">
        <x:v>Secondary product evidence</x:v>
      </x:c>
      <x:c r="H18" s="20" t="str">
        <x:v>Standard wave listed at $22.99 despite arrival extending into 2022.</x:v>
      </x:c>
      <x:c r="I18" s="20" t="str">
        <x:v>https://aiptcomics.com/2021/12/17/marvel-legends-multiverse-of-madness/</x:v>
      </x:c>
      <x:c r="J18" s="20" t="str">
        <x:v>Documents overlap rather than forcing a clean Jan-1 transition.</x:v>
      </x:c>
      <x:c r="K18" s="20"/>
      <x:c r="L18" s="20"/>
      <x:c r="M18" s="20"/>
      <x:c r="N18" s="20"/>
      <x:c r="O18" s="20"/>
      <x:c r="P18" s="20"/>
      <x:c r="Q18" s="20"/>
      <x:c r="R18" s="20"/>
      <x:c r="S18" s="20"/>
      <x:c r="T18" s="20"/>
      <x:c r="U18" s="20"/>
      <x:c r="V18" s="20"/>
      <x:c r="W18" s="20"/>
      <x:c r="X18" s="20"/>
      <x:c r="Y18" s="20"/>
      <x:c r="Z18" s="20"/>
    </x:row>
    <x:row r="19">
      <x:c r="A19" s="20" t="str">
        <x:v>MSRP transition</x:v>
      </x:c>
      <x:c r="B19" s="20" t="str">
        <x:v>First broadly documented 2022 $24.99 standard wave</x:v>
      </x:c>
      <x:c r="C19" s="20" t="str">
        <x:v>X-Men Bonebreaker wave</x:v>
      </x:c>
      <x:c r="D19" s="20" t="str">
        <x:v>ComicBook.com</x:v>
      </x:c>
      <x:c r="E19" s="20" t="str">
        <x:v>Product preorder</x:v>
      </x:c>
      <x:c r="F19" s="20" t="str">
        <x:v>Feb 8 2022</x:v>
      </x:c>
      <x:c r="G19" s="20" t="str">
        <x:v>Secondary product evidence</x:v>
      </x:c>
      <x:c r="H19" s="20" t="str">
        <x:v>Seven standard figures listed at $24.99 each.</x:v>
      </x:c>
      <x:c r="I19" s="20" t="str">
        <x:v>https://comicbook.com/marvel/news/new-x-men-marvel-legends-bonebreaker-build-a-figure-wave-pre-orders-are-live/</x:v>
      </x:c>
      <x:c r="J19" s="20" t="str">
        <x:v>Shows new MSRP in new-product solicitations before Q2 implementation.</x:v>
      </x:c>
      <x:c r="K19" s="20"/>
      <x:c r="L19" s="20"/>
      <x:c r="M19" s="20"/>
      <x:c r="N19" s="20"/>
      <x:c r="O19" s="20"/>
      <x:c r="P19" s="20"/>
      <x:c r="Q19" s="20"/>
      <x:c r="R19" s="20"/>
      <x:c r="S19" s="20"/>
      <x:c r="T19" s="20"/>
      <x:c r="U19" s="20"/>
      <x:c r="V19" s="20"/>
      <x:c r="W19" s="20"/>
      <x:c r="X19" s="20"/>
      <x:c r="Y19" s="20"/>
      <x:c r="Z19" s="20"/>
    </x:row>
    <x:row r="20">
      <x:c r="A20" s="20" t="str">
        <x:v>Labor</x:v>
      </x:c>
      <x:c r="B20" s="20" t="str">
        <x:v>China urban private manufacturing wage</x:v>
      </x:c>
      <x:c r="C20" s="20" t="str">
        <x:v>Urban private units — Manufacturing</x:v>
      </x:c>
      <x:c r="D20" s="20" t="str">
        <x:v>National Bureau of Statistics of China</x:v>
      </x:c>
      <x:c r="E20" s="20" t="str">
        <x:v>Annual</x:v>
      </x:c>
      <x:c r="F20" s="20" t="str">
        <x:v>2019–2020</x:v>
      </x:c>
      <x:c r="G20" s="20" t="str">
        <x:v>Primary proxy</x:v>
      </x:c>
      <x:c r="H20" s="20" t="str">
        <x:v>Direct manufacturing-sector wage proxy for private urban employers; useful for contract-manufacturing labor environment.</x:v>
      </x:c>
      <x:c r="I20" s="20" t="str">
        <x:v>https://www.stats.gov.cn/english/PressRelease/202105/t20210520_1817729.html</x:v>
      </x:c>
      <x:c r="J20" s="20" t="str">
        <x:v>Contains 2019 and 2020 manufacturing values: 52,858 and 57,910 yuan.</x:v>
      </x:c>
      <x:c r="K20" s="20"/>
      <x:c r="L20" s="20"/>
      <x:c r="M20" s="20"/>
      <x:c r="N20" s="20"/>
      <x:c r="O20" s="20"/>
      <x:c r="P20" s="20"/>
      <x:c r="Q20" s="20"/>
      <x:c r="R20" s="20"/>
      <x:c r="S20" s="20"/>
      <x:c r="T20" s="20"/>
      <x:c r="U20" s="20"/>
      <x:c r="V20" s="20"/>
      <x:c r="W20" s="20"/>
      <x:c r="X20" s="20"/>
      <x:c r="Y20" s="20"/>
      <x:c r="Z20" s="20"/>
    </x:row>
    <x:row r="21">
      <x:c r="A21" s="20" t="str">
        <x:v>Labor</x:v>
      </x:c>
      <x:c r="B21" s="20" t="str">
        <x:v>China urban private manufacturing wage</x:v>
      </x:c>
      <x:c r="C21" s="20" t="str">
        <x:v>Urban private units — Manufacturing</x:v>
      </x:c>
      <x:c r="D21" s="20" t="str">
        <x:v>National Bureau of Statistics of China</x:v>
      </x:c>
      <x:c r="E21" s="20" t="str">
        <x:v>Annual</x:v>
      </x:c>
      <x:c r="F21" s="20" t="str">
        <x:v>2021</x:v>
      </x:c>
      <x:c r="G21" s="20" t="str">
        <x:v>Primary proxy</x:v>
      </x:c>
      <x:c r="H21" s="20" t="str">
        <x:v>Same definition as prior year.</x:v>
      </x:c>
      <x:c r="I21" s="20" t="str">
        <x:v>https://www.stats.gov.cn/english/PressRelease/202205/t20220523_1857682.html</x:v>
      </x:c>
      <x:c r="J21" s="20" t="str">
        <x:v>2021 manufacturing value: 63,946 yuan.</x:v>
      </x:c>
      <x:c r="K21" s="20"/>
      <x:c r="L21" s="20"/>
      <x:c r="M21" s="20"/>
      <x:c r="N21" s="20"/>
      <x:c r="O21" s="20"/>
      <x:c r="P21" s="20"/>
      <x:c r="Q21" s="20"/>
      <x:c r="R21" s="20"/>
      <x:c r="S21" s="20"/>
      <x:c r="T21" s="20"/>
      <x:c r="U21" s="20"/>
      <x:c r="V21" s="20"/>
      <x:c r="W21" s="20"/>
      <x:c r="X21" s="20"/>
      <x:c r="Y21" s="20"/>
      <x:c r="Z21" s="20"/>
    </x:row>
    <x:row r="22">
      <x:c r="A22" s="20" t="str">
        <x:v>Labor</x:v>
      </x:c>
      <x:c r="B22" s="20" t="str">
        <x:v>China urban private manufacturing wage</x:v>
      </x:c>
      <x:c r="C22" s="20" t="str">
        <x:v>Urban private units — Manufacturing</x:v>
      </x:c>
      <x:c r="D22" s="20" t="str">
        <x:v>National Bureau of Statistics of China</x:v>
      </x:c>
      <x:c r="E22" s="20" t="str">
        <x:v>Annual</x:v>
      </x:c>
      <x:c r="F22" s="20" t="str">
        <x:v>2022</x:v>
      </x:c>
      <x:c r="G22" s="20" t="str">
        <x:v>Primary proxy</x:v>
      </x:c>
      <x:c r="H22" s="20" t="str">
        <x:v>Same definition as prior year.</x:v>
      </x:c>
      <x:c r="I22" s="20" t="str">
        <x:v>https://www.stats.gov.cn/english/PressRelease/202305/t20230517_1939625.html</x:v>
      </x:c>
      <x:c r="J22" s="20" t="str">
        <x:v>2022 manufacturing value: 67,352 yuan.</x:v>
      </x:c>
      <x:c r="K22" s="20"/>
      <x:c r="L22" s="20"/>
      <x:c r="M22" s="20"/>
      <x:c r="N22" s="20"/>
      <x:c r="O22" s="20"/>
      <x:c r="P22" s="20"/>
      <x:c r="Q22" s="20"/>
      <x:c r="R22" s="20"/>
      <x:c r="S22" s="20"/>
      <x:c r="T22" s="20"/>
      <x:c r="U22" s="20"/>
      <x:c r="V22" s="20"/>
      <x:c r="W22" s="20"/>
      <x:c r="X22" s="20"/>
      <x:c r="Y22" s="20"/>
      <x:c r="Z22" s="20"/>
    </x:row>
    <x:row r="23">
      <x:c r="A23" s="20" t="str">
        <x:v>Labor</x:v>
      </x:c>
      <x:c r="B23" s="20" t="str">
        <x:v>China urban private manufacturing wage</x:v>
      </x:c>
      <x:c r="C23" s="20" t="str">
        <x:v>Urban private units — Manufacturing</x:v>
      </x:c>
      <x:c r="D23" s="20" t="str">
        <x:v>National Bureau of Statistics of China</x:v>
      </x:c>
      <x:c r="E23" s="20" t="str">
        <x:v>Annual</x:v>
      </x:c>
      <x:c r="F23" s="20" t="str">
        <x:v>2023–2024</x:v>
      </x:c>
      <x:c r="G23" s="20" t="str">
        <x:v>Primary proxy</x:v>
      </x:c>
      <x:c r="H23" s="20" t="str">
        <x:v>Same definition; 2023 is reported alongside 2024.</x:v>
      </x:c>
      <x:c r="I23" s="20" t="str">
        <x:v>https://www.stats.gov.cn/english/PressRelease/202505/t20250520_1959885.html</x:v>
      </x:c>
      <x:c r="J23" s="20" t="str">
        <x:v>2023 = 71,762 yuan; 2024 = 71,467 yuan.</x:v>
      </x:c>
      <x:c r="K23" s="20"/>
      <x:c r="L23" s="20"/>
      <x:c r="M23" s="20"/>
      <x:c r="N23" s="20"/>
      <x:c r="O23" s="20"/>
      <x:c r="P23" s="20"/>
      <x:c r="Q23" s="20"/>
      <x:c r="R23" s="20"/>
      <x:c r="S23" s="20"/>
      <x:c r="T23" s="20"/>
      <x:c r="U23" s="20"/>
      <x:c r="V23" s="20"/>
      <x:c r="W23" s="20"/>
      <x:c r="X23" s="20"/>
      <x:c r="Y23" s="20"/>
      <x:c r="Z23" s="20"/>
    </x:row>
    <x:row r="24">
      <x:c r="A24" s="20" t="str">
        <x:v>Labor</x:v>
      </x:c>
      <x:c r="B24" s="20" t="str">
        <x:v>China urban private manufacturing wage</x:v>
      </x:c>
      <x:c r="C24" s="20" t="str">
        <x:v>Urban private units — Manufacturing</x:v>
      </x:c>
      <x:c r="D24" s="20" t="str">
        <x:v>National Bureau of Statistics of China</x:v>
      </x:c>
      <x:c r="E24" s="20" t="str">
        <x:v>Annual</x:v>
      </x:c>
      <x:c r="F24" s="20" t="str">
        <x:v>2025</x:v>
      </x:c>
      <x:c r="G24" s="20" t="str">
        <x:v>Primary proxy</x:v>
      </x:c>
      <x:c r="H24" s="20" t="str">
        <x:v>Latest full-year comparable value currently available.</x:v>
      </x:c>
      <x:c r="I24" s="20" t="str">
        <x:v>https://www.stats.gov.cn/english/PressRelease/202605/t20260518_1963740.html</x:v>
      </x:c>
      <x:c r="J24" s="20" t="str">
        <x:v>2025 manufacturing value: 76,055 yuan; 2026 annual wage not yet available.</x:v>
      </x:c>
      <x:c r="K24" s="20"/>
      <x:c r="L24" s="20"/>
      <x:c r="M24" s="20"/>
      <x:c r="N24" s="20"/>
      <x:c r="O24" s="20"/>
      <x:c r="P24" s="20"/>
      <x:c r="Q24" s="20"/>
      <x:c r="R24" s="20"/>
      <x:c r="S24" s="20"/>
      <x:c r="T24" s="20"/>
      <x:c r="U24" s="20"/>
      <x:c r="V24" s="20"/>
      <x:c r="W24" s="20"/>
      <x:c r="X24" s="20"/>
      <x:c r="Y24" s="20"/>
      <x:c r="Z24" s="20"/>
    </x:row>
    <x:row r="25">
      <x:c r="A25" s="20" t="str">
        <x:v>Manufacturing footprint</x:v>
      </x:c>
      <x:c r="B25" s="20" t="str">
        <x:v>Hasbro contract manufacturing geography</x:v>
      </x:c>
      <x:c r="C25" s="20" t="str">
        <x:v>2019 Form SD</x:v>
      </x:c>
      <x:c r="D25" s="20" t="str">
        <x:v>Hasbro / SEC</x:v>
      </x:c>
      <x:c r="E25" s="20" t="str">
        <x:v>Annual filing</x:v>
      </x:c>
      <x:c r="F25" s="20" t="str">
        <x:v>2019</x:v>
      </x:c>
      <x:c r="G25" s="20" t="str">
        <x:v>Context</x:v>
      </x:c>
      <x:c r="H25" s="20" t="str">
        <x:v>Establishes that China was the largest single concentration of Hasbro contract manufacturers in 2019.</x:v>
      </x:c>
      <x:c r="I25" s="20" t="str">
        <x:v>https://www.sec.gov/Archives/edgar/data/46080/000004608020000069/formsd.htm</x:v>
      </x:c>
      <x:c r="J25" s="20" t="str">
        <x:v>Also documents diversification toward India, Vietnam, Mexico and U.S. manufacturing.</x:v>
      </x:c>
      <x:c r="K25" s="20"/>
      <x:c r="L25" s="20"/>
      <x:c r="M25" s="20"/>
      <x:c r="N25" s="20"/>
      <x:c r="O25" s="20"/>
      <x:c r="P25" s="20"/>
      <x:c r="Q25" s="20"/>
      <x:c r="R25" s="20"/>
      <x:c r="S25" s="20"/>
      <x:c r="T25" s="20"/>
      <x:c r="U25" s="20"/>
      <x:c r="V25" s="20"/>
      <x:c r="W25" s="20"/>
      <x:c r="X25" s="20"/>
      <x:c r="Y25" s="20"/>
      <x:c r="Z25" s="20"/>
    </x:row>
    <x:row r="26">
      <x:c r="A26" s="20" t="str">
        <x:v>Manufacturing footprint</x:v>
      </x:c>
      <x:c r="B26" s="20" t="str">
        <x:v>Hasbro contract manufacturing geography</x:v>
      </x:c>
      <x:c r="C26" s="20" t="str">
        <x:v>2025 Form 10-K</x:v>
      </x:c>
      <x:c r="D26" s="20" t="str">
        <x:v>Hasbro / SEC</x:v>
      </x:c>
      <x:c r="E26" s="20" t="str">
        <x:v>Annual filing</x:v>
      </x:c>
      <x:c r="F26" s="20" t="str">
        <x:v>2025</x:v>
      </x:c>
      <x:c r="G26" s="20" t="str">
        <x:v>Context</x:v>
      </x:c>
      <x:c r="H26" s="20" t="str">
        <x:v>Shows 2025 third-party manufacturing across China, Vietnam, India and other countries, with China still substantial but decreasing.</x:v>
      </x:c>
      <x:c r="I26" s="20" t="str">
        <x:v>https://www.sec.gov/Archives/edgar/data/46080/000004608026000011/has-20251228.htm</x:v>
      </x:c>
      <x:c r="J26" s="20" t="str">
        <x:v>Used to justify China as a primary proxy but not as a complete Hasbro labor-cost measure.</x:v>
      </x:c>
      <x:c r="K26" s="20"/>
      <x:c r="L26" s="20"/>
      <x:c r="M26" s="20"/>
      <x:c r="N26" s="20"/>
      <x:c r="O26" s="20"/>
      <x:c r="P26" s="20"/>
      <x:c r="Q26" s="20"/>
      <x:c r="R26" s="20"/>
      <x:c r="S26" s="20"/>
      <x:c r="T26" s="20"/>
      <x:c r="U26" s="20"/>
      <x:c r="V26" s="20"/>
      <x:c r="W26" s="20"/>
      <x:c r="X26" s="20"/>
      <x:c r="Y26" s="20"/>
      <x:c r="Z26" s="20"/>
    </x:row>
    <x:row r="27">
      <x:c r="A27" s="20" t="str">
        <x:v>Labor</x:v>
      </x:c>
      <x:c r="B27" s="20" t="str">
        <x:v>Vietnam national manufacturing compensation</x:v>
      </x:c>
      <x:c r="C27" s="20" t="str">
        <x:v>Manufacturing — average monthly compensation of employees in acting enterprises</x:v>
      </x:c>
      <x:c r="D27" s="20" t="str">
        <x:v>National Statistics Office of Vietnam</x:v>
      </x:c>
      <x:c r="E27" s="20" t="str">
        <x:v>Annual</x:v>
      </x:c>
      <x:c r="F27" s="20" t="str">
        <x:v>2019–2023</x:v>
      </x:c>
      <x:c r="G27" s="20" t="str">
        <x:v>Primary cross-country labor proxy</x:v>
      </x:c>
      <x:c r="H27" s="20" t="str">
        <x:v>National manufacturing compensation trend; normalized to 2019=100 for comparison only.</x:v>
      </x:c>
      <x:c r="I27" s="20" t="str">
        <x:v>https://www.nso.gov.vn/wp-content/uploads/2026/01/Nien-giam-tom-tat-2024.pdf</x:v>
      </x:c>
      <x:c r="J27" s="20" t="str">
        <x:v>2019=8,569; 2020=9,020; 2021=9,575; 2022=10,586; 2023=10,569 thousand VND/month.</x:v>
      </x:c>
      <x:c r="K27" s="20"/>
      <x:c r="L27" s="20"/>
      <x:c r="M27" s="20"/>
      <x:c r="N27" s="20"/>
      <x:c r="O27" s="20"/>
      <x:c r="P27" s="20"/>
      <x:c r="Q27" s="20"/>
      <x:c r="R27" s="20"/>
      <x:c r="S27" s="20"/>
      <x:c r="T27" s="20"/>
      <x:c r="U27" s="20"/>
      <x:c r="V27" s="20"/>
      <x:c r="W27" s="20"/>
      <x:c r="X27" s="20"/>
      <x:c r="Y27" s="20"/>
      <x:c r="Z27" s="20"/>
    </x:row>
    <x:row r="28">
      <x:c r="A28" s="20" t="str">
        <x:v>Labor</x:v>
      </x:c>
      <x:c r="B28" s="20" t="str">
        <x:v>India organized factory-sector wage per worker</x:v>
      </x:c>
      <x:c r="C28" s="20" t="str">
        <x:v>ASI Summary Results 2023-24</x:v>
      </x:c>
      <x:c r="D28" s="20" t="str">
        <x:v>Ministry of Statistics and Programme Implementation, India</x:v>
      </x:c>
      <x:c r="E28" s="20" t="str">
        <x:v>Annual fiscal year</x:v>
      </x:c>
      <x:c r="F28" s="20" t="str">
        <x:v>2019-20 to 2023-24</x:v>
      </x:c>
      <x:c r="G28" s="20" t="str">
        <x:v>Primary cross-country labor proxy</x:v>
      </x:c>
      <x:c r="H28" s="20" t="str">
        <x:v>Organized factory-sector wage pressure. Derived as total Wages to Worker (₹ lakh) ×100,000 / Workers.</x:v>
      </x:c>
      <x:c r="I28" s="20" t="str">
        <x:v>https://new.mospi.gov.in/uploads/publications_reports/publications_reports1759229789833_2b8ed8ad-314e-46b7-b123-b08cb17f1233_ASI_Summary_Results_2023-24C.pdf</x:v>
      </x:c>
      <x:c r="J28" s="20" t="str">
        <x:v>Derived annual wage/worker: 2019-20≈₹175,297; 2020-21≈₹176,755; 2021-22≈₹194,387; 2022-23≈₹205,175; 2023-24≈₹216,487.</x:v>
      </x:c>
      <x:c r="K28" s="20"/>
      <x:c r="L28" s="20"/>
      <x:c r="M28" s="20"/>
      <x:c r="N28" s="20"/>
      <x:c r="O28" s="20"/>
      <x:c r="P28" s="20"/>
      <x:c r="Q28" s="20"/>
      <x:c r="R28" s="20"/>
      <x:c r="S28" s="20"/>
      <x:c r="T28" s="20"/>
      <x:c r="U28" s="20"/>
      <x:c r="V28" s="20"/>
      <x:c r="W28" s="20"/>
      <x:c r="X28" s="20"/>
      <x:c r="Y28" s="20"/>
      <x:c r="Z28" s="20"/>
    </x:row>
    <x:row r="29">
      <x:c r="A29" s="20" t="str">
        <x:v>Hasbro accounting</x:v>
      </x:c>
      <x:c r="B29" s="20" t="str">
        <x:v>2019 cost-of-sales composition</x:v>
      </x:c>
      <x:c r="C29" s="20" t="str">
        <x:v>2019 Cost of Sales slide</x:v>
      </x:c>
      <x:c r="D29" s="20" t="str">
        <x:v>Hasbro, Inc.</x:v>
      </x:c>
      <x:c r="E29" s="20" t="str">
        <x:v>Annual disclosure</x:v>
      </x:c>
      <x:c r="F29" s="20" t="str">
        <x:v>2019</x:v>
      </x:c>
      <x:c r="G29" s="20" t="str">
        <x:v>Primary corporate</x:v>
      </x:c>
      <x:c r="H29" s="20" t="str">
        <x:v>Directly reports Hasbro cost-of-sales components including labor, resins, board/paper/print, freight/import and tooling.</x:v>
      </x:c>
      <x:c r="I29" s="20" t="str">
        <x:v>https://investor.hasbro.com/static-files/8898ff21-1faa-4e55-811c-48bf39d593b5</x:v>
      </x:c>
      <x:c r="J29" s="20" t="str">
        <x:v>Component percentages are reported as % of total Hasbro revenue. Labor = 8.1% of revenue; total COGS = 38.3%.</x:v>
      </x:c>
      <x:c r="K29" s="20"/>
      <x:c r="L29" s="20"/>
      <x:c r="M29" s="20"/>
      <x:c r="N29" s="20"/>
      <x:c r="O29" s="20"/>
      <x:c r="P29" s="20"/>
      <x:c r="Q29" s="20"/>
      <x:c r="R29" s="20"/>
      <x:c r="S29" s="20"/>
      <x:c r="T29" s="20"/>
      <x:c r="U29" s="20"/>
      <x:c r="V29" s="20"/>
      <x:c r="W29" s="20"/>
      <x:c r="X29" s="20"/>
      <x:c r="Y29" s="20"/>
      <x:c r="Z29" s="20"/>
    </x:row>
    <x:row r="30">
      <x:c r="A30" s="20" t="str">
        <x:v>Hasbro accounting</x:v>
      </x:c>
      <x:c r="B30" s="20" t="str">
        <x:v>2020 cost-of-sales composition</x:v>
      </x:c>
      <x:c r="C30" s="20" t="str">
        <x:v>2020 Cost of Sales slide</x:v>
      </x:c>
      <x:c r="D30" s="20" t="str">
        <x:v>Hasbro, Inc.</x:v>
      </x:c>
      <x:c r="E30" s="20" t="str">
        <x:v>Annual disclosure</x:v>
      </x:c>
      <x:c r="F30" s="20" t="str">
        <x:v>2020</x:v>
      </x:c>
      <x:c r="G30" s="20" t="str">
        <x:v>Primary corporate</x:v>
      </x:c>
      <x:c r="H30" s="20" t="str">
        <x:v>Directly reports Hasbro cost-of-sales components for 2020.</x:v>
      </x:c>
      <x:c r="I30" s="20" t="str">
        <x:v>https://investor.hasbro.com/static-files/1bf09f2e-5078-4a6b-8428-799816e512f3</x:v>
      </x:c>
      <x:c r="J30" s="20" t="str">
        <x:v>Labor = 6.2% of revenue; total COGS = 31.5%. The slide also displays gross margin 69.5%, which is arithmetically inconsistent with 31.5% COGS; workbook derives gross margin as 100%-COGS.</x:v>
      </x:c>
      <x:c r="K30" s="20"/>
      <x:c r="L30" s="20"/>
      <x:c r="M30" s="20"/>
      <x:c r="N30" s="20"/>
      <x:c r="O30" s="20"/>
      <x:c r="P30" s="20"/>
      <x:c r="Q30" s="20"/>
      <x:c r="R30" s="20"/>
      <x:c r="S30" s="20"/>
      <x:c r="T30" s="20"/>
      <x:c r="U30" s="20"/>
      <x:c r="V30" s="20"/>
      <x:c r="W30" s="20"/>
      <x:c r="X30" s="20"/>
      <x:c r="Y30" s="20"/>
      <x:c r="Z30" s="20"/>
    </x:row>
    <x:row r="31">
      <x:c r="A31" s="20" t="str">
        <x:v>Hasbro accounting</x:v>
      </x:c>
      <x:c r="B31" s="20" t="str">
        <x:v>2021 cost-of-sales composition</x:v>
      </x:c>
      <x:c r="C31" s="20" t="str">
        <x:v>2021 Cost of Sales (Actual FX as Reported)</x:v>
      </x:c>
      <x:c r="D31" s="20" t="str">
        <x:v>Hasbro, Inc.</x:v>
      </x:c>
      <x:c r="E31" s="20" t="str">
        <x:v>Annual disclosure</x:v>
      </x:c>
      <x:c r="F31" s="20" t="str">
        <x:v>2021</x:v>
      </x:c>
      <x:c r="G31" s="20" t="str">
        <x:v>Primary corporate</x:v>
      </x:c>
      <x:c r="H31" s="20" t="str">
        <x:v>Directly reports Hasbro cost-of-sales components for 2021.</x:v>
      </x:c>
      <x:c r="I31" s="20" t="str">
        <x:v>https://investor.hasbro.com/static-files/ab698130-0aa9-4715-b050-b42a4dc80d86</x:v>
      </x:c>
      <x:c r="J31" s="20" t="str">
        <x:v>Labor = 5.9% of revenue; freight/import = 3.5%; tooling = 1.2%; total COGS = 30.0%.</x:v>
      </x:c>
      <x:c r="K31" s="20"/>
      <x:c r="L31" s="20"/>
      <x:c r="M31" s="20"/>
      <x:c r="N31" s="20"/>
      <x:c r="O31" s="20"/>
      <x:c r="P31" s="20"/>
      <x:c r="Q31" s="20"/>
      <x:c r="R31" s="20"/>
      <x:c r="S31" s="20"/>
      <x:c r="T31" s="20"/>
      <x:c r="U31" s="20"/>
      <x:c r="V31" s="20"/>
      <x:c r="W31" s="20"/>
      <x:c r="X31" s="20"/>
      <x:c r="Y31" s="20"/>
      <x:c r="Z31" s="20"/>
    </x:row>
    <x:row r="32">
      <x:c r="A32" s="20" t="str">
        <x:v>Hasbro accounting</x:v>
      </x:c>
      <x:c r="B32" s="20" t="str">
        <x:v>2022 cost-of-sales composition</x:v>
      </x:c>
      <x:c r="C32" s="20" t="str">
        <x:v>2022 Cost of Sales (Actual FX as Reported)</x:v>
      </x:c>
      <x:c r="D32" s="20" t="str">
        <x:v>Hasbro, Inc.</x:v>
      </x:c>
      <x:c r="E32" s="20" t="str">
        <x:v>Annual disclosure</x:v>
      </x:c>
      <x:c r="F32" s="20" t="str">
        <x:v>2022</x:v>
      </x:c>
      <x:c r="G32" s="20" t="str">
        <x:v>Primary corporate</x:v>
      </x:c>
      <x:c r="H32" s="20" t="str">
        <x:v>Directly reports Hasbro cost-of-sales components for 2022.</x:v>
      </x:c>
      <x:c r="I32" s="20" t="str">
        <x:v>https://investor.hasbro.com/static-files/4e470766-a944-46ad-b317-d20a66a44d94</x:v>
      </x:c>
      <x:c r="J32" s="20" t="str">
        <x:v>Labor = 5.6% of revenue; freight/import = 4.1%; tooling = 1.3%; total COGS = 32.6%.</x:v>
      </x:c>
      <x:c r="K32" s="20"/>
      <x:c r="L32" s="20"/>
      <x:c r="M32" s="20"/>
      <x:c r="N32" s="20"/>
      <x:c r="O32" s="20"/>
      <x:c r="P32" s="20"/>
      <x:c r="Q32" s="20"/>
      <x:c r="R32" s="20"/>
      <x:c r="S32" s="20"/>
      <x:c r="T32" s="20"/>
      <x:c r="U32" s="20"/>
      <x:c r="V32" s="20"/>
      <x:c r="W32" s="20"/>
      <x:c r="X32" s="20"/>
      <x:c r="Y32" s="20"/>
      <x:c r="Z32" s="20"/>
    </x:row>
    <x:row r="33">
      <x:c r="A33" s="20" t="str">
        <x:v>Hasbro accounting</x:v>
      </x:c>
      <x:c r="B33" s="20" t="str">
        <x:v>2023–2025 aggregate and Consumer Products cost of sales</x:v>
      </x:c>
      <x:c r="C33" s="20" t="str">
        <x:v>2025 Form 10-K</x:v>
      </x:c>
      <x:c r="D33" s="20" t="str">
        <x:v>Hasbro, Inc.</x:v>
      </x:c>
      <x:c r="E33" s="20" t="str">
        <x:v>Annual filing</x:v>
      </x:c>
      <x:c r="F33" s="20" t="str">
        <x:v>2023–2025</x:v>
      </x:c>
      <x:c r="G33" s="20" t="str">
        <x:v>Primary corporate</x:v>
      </x:c>
      <x:c r="H33" s="20" t="str">
        <x:v>Provides consolidated COGS for 2023–2025 and Consumer Products segment net revenue, COGS and distribution expense.</x:v>
      </x:c>
      <x:c r="I33" s="20" t="str">
        <x:v>https://investor.hasbro.com/static-files/f5824da9-0c4e-4e30-8cfe-f0b23f793c38</x:v>
      </x:c>
      <x:c r="J33" s="20" t="str">
        <x:v>The comparable detailed component table used in 2019–2022 was not located for 2023–2025 in the public materials reviewed; later-year components are therefore not imputed.</x:v>
      </x:c>
      <x:c r="K33" s="20"/>
      <x:c r="L33" s="20"/>
      <x:c r="M33" s="20"/>
      <x:c r="N33" s="20"/>
      <x:c r="O33" s="20"/>
      <x:c r="P33" s="20"/>
      <x:c r="Q33" s="20"/>
      <x:c r="R33" s="20"/>
      <x:c r="S33" s="20"/>
      <x:c r="T33" s="20"/>
      <x:c r="U33" s="20"/>
      <x:c r="V33" s="20"/>
      <x:c r="W33" s="20"/>
      <x:c r="X33" s="20"/>
      <x:c r="Y33" s="20"/>
      <x:c r="Z33" s="20"/>
    </x:row>
    <x:row r="34">
      <x:c r="A34" s="20" t="str">
        <x:v>Industry expert context</x:v>
      </x:c>
      <x:c r="B34" s="20" t="str">
        <x:v>Economies of scale / higher quantities reduce unit cost</x:v>
      </x:c>
      <x:c r="C34" s="20" t="str">
        <x:v>Bobby Vala interview + Valaverse price-reduction statement</x:v>
      </x:c>
      <x:c r="D34" s="20" t="str">
        <x:v>Bobby Vala / Valaverse</x:v>
      </x:c>
      <x:c r="E34" s="20" t="str">
        <x:v>Interview / company statement</x:v>
      </x:c>
      <x:c r="F34" s="20" t="str">
        <x:v>2023–2026</x:v>
      </x:c>
      <x:c r="G34" s="20" t="str">
        <x:v>Supporting qualitative evidence</x:v>
      </x:c>
      <x:c r="H34" s="20" t="str">
        <x:v>Shows scale and factory relationships can reduce unit production cost, offsetting some input inflation.</x:v>
      </x:c>
      <x:c r="I34" s="20" t="str">
        <x:v>https://www.the360mag.com/valaverse/</x:v>
      </x:c>
      <x:c r="J34" s="20" t="str">
        <x:v>Use qualitatively only; no numeric Valaverse cost-reduction percentage is disclosed.</x:v>
      </x:c>
      <x:c r="K34" s="20"/>
      <x:c r="L34" s="20"/>
      <x:c r="M34" s="20"/>
      <x:c r="N34" s="20"/>
      <x:c r="O34" s="20"/>
      <x:c r="P34" s="20"/>
      <x:c r="Q34" s="20"/>
      <x:c r="R34" s="20"/>
      <x:c r="S34" s="20"/>
      <x:c r="T34" s="20"/>
      <x:c r="U34" s="20"/>
      <x:c r="V34" s="20"/>
      <x:c r="W34" s="20"/>
      <x:c r="X34" s="20"/>
      <x:c r="Y34" s="20"/>
      <x:c r="Z34" s="20"/>
    </x:row>
    <x:row r="35">
      <x:c r="A35" s="20" t="str">
        <x:v>Industry expert context</x:v>
      </x:c>
      <x:c r="B35" s="20" t="str">
        <x:v>Mold reuse reduces production cost and risk</x:v>
      </x:c>
      <x:c r="C35" s="20" t="str">
        <x:v>Valaverse YouTube — mold reuse</x:v>
      </x:c>
      <x:c r="D35" s="20" t="str">
        <x:v>Valaverse / Bobby Vala</x:v>
      </x:c>
      <x:c r="E35" s="20" t="str">
        <x:v>Video</x:v>
      </x:c>
      <x:c r="F35" s="20" t="str">
        <x:v>2024-11-02</x:v>
      </x:c>
      <x:c r="G35" s="20" t="str">
        <x:v>Supporting qualitative evidence</x:v>
      </x:c>
      <x:c r="H35" s="20" t="str">
        <x:v>Supports tooling reuse/amortization as an important action-figure cost mechanism.</x:v>
      </x:c>
      <x:c r="I35" s="20" t="str">
        <x:v>https://www.youtube.com/watch?v=AKQKnSbY7oQ</x:v>
      </x:c>
      <x:c r="J35" s="20" t="str">
        <x:v>Do not convert to a Hasbro-specific mold-dollar estimate.</x:v>
      </x:c>
      <x:c r="K35" s="20"/>
      <x:c r="L35" s="20"/>
      <x:c r="M35" s="20"/>
      <x:c r="N35" s="20"/>
      <x:c r="O35" s="20"/>
      <x:c r="P35" s="20"/>
      <x:c r="Q35" s="20"/>
      <x:c r="R35" s="20"/>
      <x:c r="S35" s="20"/>
      <x:c r="T35" s="20"/>
      <x:c r="U35" s="20"/>
      <x:c r="V35" s="20"/>
      <x:c r="W35" s="20"/>
      <x:c r="X35" s="20"/>
      <x:c r="Y35" s="20"/>
      <x:c r="Z35" s="20"/>
    </x:row>
    <x:row r="36">
      <x:c r="A36" s="20" t="str">
        <x:v>Industry expert context</x:v>
      </x:c>
      <x:c r="B36" s="20" t="str">
        <x:v>Collector action-figure manufacturing process complexity</x:v>
      </x:c>
      <x:c r="C36" s="20" t="str">
        <x:v>Valaverse YouTube — U.S. manufacturing investigation</x:v>
      </x:c>
      <x:c r="D36" s="20" t="str">
        <x:v>Valaverse / Bobby Vala</x:v>
      </x:c>
      <x:c r="E36" s="20" t="str">
        <x:v>Video</x:v>
      </x:c>
      <x:c r="F36" s="20" t="str">
        <x:v>2025-06-14</x:v>
      </x:c>
      <x:c r="G36" s="20" t="str">
        <x:v>Supporting qualitative evidence</x:v>
      </x:c>
      <x:c r="H36" s="20" t="str">
        <x:v>Shows process capability, deco operations and factory specialization affect unit cost beyond raw materials/wage rates.</x:v>
      </x:c>
      <x:c r="I36" s="20" t="str">
        <x:v>https://www.youtube.com/watch?v=qT2tQjKa1JA</x:v>
      </x:c>
      <x:c r="J36" s="20" t="str">
        <x:v>Vala reports U.S. quotes around 3–4x China cost; do not interpret this as a labor-only ratio or Hasbro-specific number.</x:v>
      </x:c>
      <x:c r="K36" s="20"/>
      <x:c r="L36" s="20"/>
      <x:c r="M36" s="20"/>
      <x:c r="N36" s="20"/>
      <x:c r="O36" s="20"/>
      <x:c r="P36" s="20"/>
      <x:c r="Q36" s="20"/>
      <x:c r="R36" s="20"/>
      <x:c r="S36" s="20"/>
      <x:c r="T36" s="20"/>
      <x:c r="U36" s="20"/>
      <x:c r="V36" s="20"/>
      <x:c r="W36" s="20"/>
      <x:c r="X36" s="20"/>
      <x:c r="Y36" s="20"/>
      <x:c r="Z36" s="20"/>
    </x:row>
    <x:row r="37">
      <x:c r="A37" s="20" t="str">
        <x:v>Inbound logistics</x:v>
      </x:c>
      <x:c r="B37" s="20" t="str">
        <x:v>Deep Sea Freight Transportation PPI</x:v>
      </x:c>
      <x:c r="C37" s="20" t="str">
        <x:v>PCU483111483111</x:v>
      </x:c>
      <x:c r="D37" s="20" t="str">
        <x:v>U.S. Bureau of Labor Statistics via FRED</x:v>
      </x:c>
      <x:c r="E37" s="20" t="str">
        <x:v>Monthly</x:v>
      </x:c>
      <x:c r="F37" s="20" t="str">
        <x:v>2019-01 to 2026-08</x:v>
      </x:c>
      <x:c r="G37" s="20" t="str">
        <x:v>Primary proxy</x:v>
      </x:c>
      <x:c r="H37" s="20" t="str">
        <x:v>Broad official monthly price proxy for deep-sea freight transportation; used as core inbound freight variable.</x:v>
      </x:c>
      <x:c r="I37" s="20" t="str">
        <x:v>https://fred.stlouisfed.org/series/PCU483111483111</x:v>
      </x:c>
      <x:c r="J37" s="20" t="str">
        <x:v>Not China-specific and not a Hasbro contract-rate series; normalize to Jan-2019=100 for comparison.</x:v>
      </x:c>
      <x:c r="K37" s="20"/>
      <x:c r="L37" s="20"/>
      <x:c r="M37" s="20"/>
      <x:c r="N37" s="20"/>
      <x:c r="O37" s="20"/>
      <x:c r="P37" s="20"/>
      <x:c r="Q37" s="20"/>
      <x:c r="R37" s="20"/>
      <x:c r="S37" s="20"/>
      <x:c r="T37" s="20"/>
      <x:c r="U37" s="20"/>
      <x:c r="V37" s="20"/>
      <x:c r="W37" s="20"/>
      <x:c r="X37" s="20"/>
      <x:c r="Y37" s="20"/>
      <x:c r="Z37" s="20"/>
    </x:row>
    <x:row r="38">
      <x:c r="A38" s="20" t="str">
        <x:v>Inbound logistics</x:v>
      </x:c>
      <x:c r="B38" s="20" t="str">
        <x:v>Shanghai–Los Angeles / Shanghai–New York container spot rates</x:v>
      </x:c>
      <x:c r="C38" s="20" t="str">
        <x:v>World Container Index</x:v>
      </x:c>
      <x:c r="D38" s="20" t="str">
        <x:v>Drewry Supply Chain Advisors</x:v>
      </x:c>
      <x:c r="E38" s="20" t="str">
        <x:v>Weekly / point observations</x:v>
      </x:c>
      <x:c r="F38" s="20" t="str">
        <x:v>2019–2026 selected points</x:v>
      </x:c>
      <x:c r="G38" s="20" t="str">
        <x:v>Secondary route-specific proxy</x:v>
      </x:c>
      <x:c r="H38" s="20" t="str">
        <x:v>Transpacific container spot-rate reality check for Asia-to-U.S. shipping conditions.</x:v>
      </x:c>
      <x:c r="I38" s="20" t="str">
        <x:v>https://www.drewry.co.uk/supply-chain-advisors/supply-chain-expertise/world-container-index-assessed-by-drewry</x:v>
      </x:c>
      <x:c r="J38" s="20" t="str">
        <x:v>Use as contextual validation, not as Hasbro's actual contract freight rate.</x:v>
      </x:c>
      <x:c r="K38" s="20"/>
      <x:c r="L38" s="20"/>
      <x:c r="M38" s="20"/>
      <x:c r="N38" s="20"/>
      <x:c r="O38" s="20"/>
      <x:c r="P38" s="20"/>
      <x:c r="Q38" s="20"/>
      <x:c r="R38" s="20"/>
      <x:c r="S38" s="20"/>
      <x:c r="T38" s="20"/>
      <x:c r="U38" s="20"/>
      <x:c r="V38" s="20"/>
      <x:c r="W38" s="20"/>
      <x:c r="X38" s="20"/>
      <x:c r="Y38" s="20"/>
      <x:c r="Z38" s="20"/>
    </x:row>
    <x:row r="39">
      <x:c r="A39" s="20" t="str">
        <x:v>Inbound logistics</x:v>
      </x:c>
      <x:c r="B39" s="20" t="str">
        <x:v>2021 pandemic route peak evidence</x:v>
      </x:c>
      <x:c r="C39" s="20" t="str">
        <x:v>Drewry WCI reported by freight press</x:v>
      </x:c>
      <x:c r="D39" s="20" t="str">
        <x:v>Drewry / FBJNA</x:v>
      </x:c>
      <x:c r="E39" s="20" t="str">
        <x:v>Point observation</x:v>
      </x:c>
      <x:c r="F39" s="20" t="str">
        <x:v>2021-09-16</x:v>
      </x:c>
      <x:c r="G39" s="20" t="str">
        <x:v>Secondary route-specific evidence</x:v>
      </x:c>
      <x:c r="H39" s="20" t="str">
        <x:v>Documents Shanghai–LA $12,424 and Shanghai–NY $16,138 per 40ft container during the pandemic freight shock.</x:v>
      </x:c>
      <x:c r="I39" s="20" t="str">
        <x:v>https://www.fbjna.com/edrewry-world-container-index-sept-16-2021/</x:v>
      </x:c>
      <x:c r="J39" s="20" t="str">
        <x:v>Supports magnitude/timing of spot-rate shock; not used as continuous core series.</x:v>
      </x:c>
      <x:c r="K39" s="20"/>
      <x:c r="L39" s="20"/>
      <x:c r="M39" s="20"/>
      <x:c r="N39" s="20"/>
      <x:c r="O39" s="20"/>
      <x:c r="P39" s="20"/>
      <x:c r="Q39" s="20"/>
      <x:c r="R39" s="20"/>
      <x:c r="S39" s="20"/>
      <x:c r="T39" s="20"/>
      <x:c r="U39" s="20"/>
      <x:c r="V39" s="20"/>
      <x:c r="W39" s="20"/>
      <x:c r="X39" s="20"/>
      <x:c r="Y39" s="20"/>
      <x:c r="Z39" s="20"/>
    </x:row>
    <x:row r="40">
      <x:c r="A40" s="20" t="str">
        <x:v>Inbound logistics</x:v>
      </x:c>
      <x:c r="B40" s="20" t="str">
        <x:v>2019 pre-pandemic Shanghai–Los Angeles spot rate</x:v>
      </x:c>
      <x:c r="C40" s="20" t="str">
        <x:v>Drewry WCI reported by FreightWaves</x:v>
      </x:c>
      <x:c r="D40" s="20" t="str">
        <x:v>Drewry / FreightWaves</x:v>
      </x:c>
      <x:c r="E40" s="20" t="str">
        <x:v>Point observation</x:v>
      </x:c>
      <x:c r="F40" s="20" t="str">
        <x:v>2019-04</x:v>
      </x:c>
      <x:c r="G40" s="20" t="str">
        <x:v>Secondary route-specific evidence</x:v>
      </x:c>
      <x:c r="H40" s="20" t="str">
        <x:v>Provides a pre-pandemic route-specific benchmark ($1,504 per 40ft container).</x:v>
      </x:c>
      <x:c r="I40" s="20" t="str">
        <x:v>https://www.freightwaves.com/news/maritime-20190415-box-rates-down-down-down</x:v>
      </x:c>
      <x:c r="J40" s="20" t="str">
        <x:v>Illustrative point only; not Hasbro-specific.</x:v>
      </x:c>
      <x:c r="K40" s="20"/>
      <x:c r="L40" s="20"/>
      <x:c r="M40" s="20"/>
      <x:c r="N40" s="20"/>
      <x:c r="O40" s="20"/>
      <x:c r="P40" s="20"/>
      <x:c r="Q40" s="20"/>
      <x:c r="R40" s="20"/>
      <x:c r="S40" s="20"/>
      <x:c r="T40" s="20"/>
      <x:c r="U40" s="20"/>
      <x:c r="V40" s="20"/>
      <x:c r="W40" s="20"/>
      <x:c r="X40" s="20"/>
      <x:c r="Y40" s="20"/>
      <x:c r="Z40" s="20"/>
    </x:row>
    <x:row r="41">
      <x:c r="A41" s="20" t="str">
        <x:v>Tariffs</x:v>
      </x:c>
      <x:c r="B41" s="20" t="str">
        <x:v>China-origin toys base general duty</x:v>
      </x:c>
      <x:c r="C41" s="20" t="str">
        <x:v>HTS 9503.00.0090 / comparable CBP rulings</x:v>
      </x:c>
      <x:c r="D41" s="20" t="str">
        <x:v>U.S. Customs and Border Protection</x:v>
      </x:c>
      <x:c r="E41" s="20" t="str">
        <x:v>Rulings</x:v>
      </x:c>
      <x:c r="F41" s="20" t="str">
        <x:v>2019–2024 baseline</x:v>
      </x:c>
      <x:c r="G41" s="20" t="str">
        <x:v>Primary legal/classification proxy</x:v>
      </x:c>
      <x:c r="H41" s="20" t="str">
        <x:v>Comparable collectible/toy rulings show general duty Free; used as tariff baseline, not as proof of exact Marvel Legends SKU classification.</x:v>
      </x:c>
      <x:c r="I41" s="20" t="str">
        <x:v>https://rulings.cbp.gov/ruling/N335058</x:v>
      </x:c>
      <x:c r="J41" s="20" t="str">
        <x:v>Also see CBP N318791 and N304499.</x:v>
      </x:c>
      <x:c r="K41" s="20"/>
      <x:c r="L41" s="20"/>
      <x:c r="M41" s="20"/>
      <x:c r="N41" s="20"/>
      <x:c r="O41" s="20"/>
      <x:c r="P41" s="20"/>
      <x:c r="Q41" s="20"/>
      <x:c r="R41" s="20"/>
      <x:c r="S41" s="20"/>
      <x:c r="T41" s="20"/>
      <x:c r="U41" s="20"/>
      <x:c r="V41" s="20"/>
      <x:c r="W41" s="20"/>
      <x:c r="X41" s="20"/>
      <x:c r="Y41" s="20"/>
      <x:c r="Z41" s="20"/>
    </x:row>
    <x:row r="42">
      <x:c r="A42" s="20" t="str">
        <x:v>Tariffs</x:v>
      </x:c>
      <x:c r="B42" s="20" t="str">
        <x:v>China fentanyl tariff 10%</x:v>
      </x:c>
      <x:c r="C42" s="20" t="str">
        <x:v>EO 14195</x:v>
      </x:c>
      <x:c r="D42" s="20" t="str">
        <x:v>White House</x:v>
      </x:c>
      <x:c r="E42" s="20" t="str">
        <x:v>Policy event</x:v>
      </x:c>
      <x:c r="F42" s="20" t="str">
        <x:v>Effective 2025-02-04</x:v>
      </x:c>
      <x:c r="G42" s="20" t="str">
        <x:v>Primary legal</x:v>
      </x:c>
      <x:c r="H42" s="20" t="str">
        <x:v>Introduced 10% additional tariff on imports from China.</x:v>
      </x:c>
      <x:c r="I42" s="20" t="str">
        <x:v>https://www.whitehouse.gov/presidential-actions/2025/02/imposing-duties-to-address-the-synthetic-opioid-supply-chain-in-the-peoples-republic-of-china/</x:v>
      </x:c>
      <x:c r="J42" s="20" t="str">
        <x:v>Use only for timing/rate proxy.</x:v>
      </x:c>
      <x:c r="K42" s="20"/>
      <x:c r="L42" s="20"/>
      <x:c r="M42" s="20"/>
      <x:c r="N42" s="20"/>
      <x:c r="O42" s="20"/>
      <x:c r="P42" s="20"/>
      <x:c r="Q42" s="20"/>
      <x:c r="R42" s="20"/>
      <x:c r="S42" s="20"/>
      <x:c r="T42" s="20"/>
      <x:c r="U42" s="20"/>
      <x:c r="V42" s="20"/>
      <x:c r="W42" s="20"/>
      <x:c r="X42" s="20"/>
      <x:c r="Y42" s="20"/>
      <x:c r="Z42" s="20"/>
    </x:row>
    <x:row r="43">
      <x:c r="A43" s="20" t="str">
        <x:v>Tariffs</x:v>
      </x:c>
      <x:c r="B43" s="20" t="str">
        <x:v>China fentanyl tariff 20%</x:v>
      </x:c>
      <x:c r="C43" s="20" t="str">
        <x:v>EO 14228</x:v>
      </x:c>
      <x:c r="D43" s="20" t="str">
        <x:v>White House</x:v>
      </x:c>
      <x:c r="E43" s="20" t="str">
        <x:v>Policy event</x:v>
      </x:c>
      <x:c r="F43" s="20" t="str">
        <x:v>Effective 2025-03-04</x:v>
      </x:c>
      <x:c r="G43" s="20" t="str">
        <x:v>Primary legal</x:v>
      </x:c>
      <x:c r="H43" s="20" t="str">
        <x:v>Raised China IEEPA fentanyl tariff from 10% to 20%.</x:v>
      </x:c>
      <x:c r="I43" s="20" t="str">
        <x:v>https://www.whitehouse.gov/presidential-actions/2025/03/further-amendment-to-duties-addressing-the-synthetic-opioid-supply-chain-in-the-peoples-republic-of-china/</x:v>
      </x:c>
      <x:c r="J43" s="20" t="str">
        <x:v>Use only for timing/rate proxy.</x:v>
      </x:c>
      <x:c r="K43" s="20"/>
      <x:c r="L43" s="20"/>
      <x:c r="M43" s="20"/>
      <x:c r="N43" s="20"/>
      <x:c r="O43" s="20"/>
      <x:c r="P43" s="20"/>
      <x:c r="Q43" s="20"/>
      <x:c r="R43" s="20"/>
      <x:c r="S43" s="20"/>
      <x:c r="T43" s="20"/>
      <x:c r="U43" s="20"/>
      <x:c r="V43" s="20"/>
      <x:c r="W43" s="20"/>
      <x:c r="X43" s="20"/>
      <x:c r="Y43" s="20"/>
      <x:c r="Z43" s="20"/>
    </x:row>
    <x:row r="44">
      <x:c r="A44" s="20" t="str">
        <x:v>Tariffs</x:v>
      </x:c>
      <x:c r="B44" s="20" t="str">
        <x:v>China reciprocal tariff escalation</x:v>
      </x:c>
      <x:c r="C44" s="20" t="str">
        <x:v>April 2025 reciprocal tariff actions</x:v>
      </x:c>
      <x:c r="D44" s="20" t="str">
        <x:v>White House</x:v>
      </x:c>
      <x:c r="E44" s="20" t="str">
        <x:v>Policy event</x:v>
      </x:c>
      <x:c r="F44" s="20" t="str">
        <x:v>2025-04-05 to 2025-05-13</x:v>
      </x:c>
      <x:c r="G44" s="20" t="str">
        <x:v>Primary legal</x:v>
      </x:c>
      <x:c r="H44" s="20" t="str">
        <x:v>China reciprocal tariff escalated from 10% baseline to 84%, then 125%, on top of fentanyl tariff.</x:v>
      </x:c>
      <x:c r="I44" s="20" t="str">
        <x:v>https://www.whitehouse.gov/presidential-actions/2025/04/modifying-reciprocal-tariff-rates-to-reflect-trading-partner-retaliation-and-alignment/</x:v>
      </x:c>
      <x:c r="J44" s="20" t="str">
        <x:v>Extremely volatile; do not treat peak headline rate as Hasbro realized cost.</x:v>
      </x:c>
      <x:c r="K44" s="20"/>
      <x:c r="L44" s="20"/>
      <x:c r="M44" s="20"/>
      <x:c r="N44" s="20"/>
      <x:c r="O44" s="20"/>
      <x:c r="P44" s="20"/>
      <x:c r="Q44" s="20"/>
      <x:c r="R44" s="20"/>
      <x:c r="S44" s="20"/>
      <x:c r="T44" s="20"/>
      <x:c r="U44" s="20"/>
      <x:c r="V44" s="20"/>
      <x:c r="W44" s="20"/>
      <x:c r="X44" s="20"/>
      <x:c r="Y44" s="20"/>
      <x:c r="Z44" s="20"/>
    </x:row>
    <x:row r="45">
      <x:c r="A45" s="20" t="str">
        <x:v>Tariffs</x:v>
      </x:c>
      <x:c r="B45" s="20" t="str">
        <x:v>China reciprocal tariff reduced to 10%</x:v>
      </x:c>
      <x:c r="C45" s="20" t="str">
        <x:v>May 2025 U.S.–China action</x:v>
      </x:c>
      <x:c r="D45" s="20" t="str">
        <x:v>White House</x:v>
      </x:c>
      <x:c r="E45" s="20" t="str">
        <x:v>Policy event</x:v>
      </x:c>
      <x:c r="F45" s="20" t="str">
        <x:v>Effective 2025-05-14</x:v>
      </x:c>
      <x:c r="G45" s="20" t="str">
        <x:v>Primary legal</x:v>
      </x:c>
      <x:c r="H45" s="20" t="str">
        <x:v>Reduced reciprocal component to 10% while 20% fentanyl tariff remained, creating ~30% combined additional-duty proxy.</x:v>
      </x:c>
      <x:c r="I45" s="20" t="str">
        <x:v>https://www.whitehouse.gov/fact-sheets/2025/05/fact-sheet-president-donald-j-trump-secures-a-historic-trade-win-for-the-united-states/</x:v>
      </x:c>
      <x:c r="J45" s="20" t="str">
        <x:v>This is the tariff environment overlapping the Sep. 2025 MSRP increase.</x:v>
      </x:c>
      <x:c r="K45" s="20"/>
      <x:c r="L45" s="20"/>
      <x:c r="M45" s="20"/>
      <x:c r="N45" s="20"/>
      <x:c r="O45" s="20"/>
      <x:c r="P45" s="20"/>
      <x:c r="Q45" s="20"/>
      <x:c r="R45" s="20"/>
      <x:c r="S45" s="20"/>
      <x:c r="T45" s="20"/>
      <x:c r="U45" s="20"/>
      <x:c r="V45" s="20"/>
      <x:c r="W45" s="20"/>
      <x:c r="X45" s="20"/>
      <x:c r="Y45" s="20"/>
      <x:c r="Z45" s="20"/>
    </x:row>
    <x:row r="46">
      <x:c r="A46" s="20" t="str">
        <x:v>Tariffs</x:v>
      </x:c>
      <x:c r="B46" s="20" t="str">
        <x:v>China fentanyl tariff reduced to 10%</x:v>
      </x:c>
      <x:c r="C46" s="20" t="str">
        <x:v>Nov. 2025 action</x:v>
      </x:c>
      <x:c r="D46" s="20" t="str">
        <x:v>White House</x:v>
      </x:c>
      <x:c r="E46" s="20" t="str">
        <x:v>Policy event</x:v>
      </x:c>
      <x:c r="F46" s="20" t="str">
        <x:v>Effective 2025-11-10</x:v>
      </x:c>
      <x:c r="G46" s="20" t="str">
        <x:v>Primary legal</x:v>
      </x:c>
      <x:c r="H46" s="20" t="str">
        <x:v>Reduced fentanyl component from 20% to 10%; 10% reciprocal component remained.</x:v>
      </x:c>
      <x:c r="I46" s="20" t="str">
        <x:v>https://www.whitehouse.gov/fact-sheets/2025/11/fact-sheet-president-donald-j-trump-strikes-deal-on-economic-and-trade-relations-with-china/</x:v>
      </x:c>
      <x:c r="J46" s="20" t="str">
        <x:v>Combined proxy ~20%.</x:v>
      </x:c>
      <x:c r="K46" s="20"/>
      <x:c r="L46" s="20"/>
      <x:c r="M46" s="20"/>
      <x:c r="N46" s="20"/>
      <x:c r="O46" s="20"/>
      <x:c r="P46" s="20"/>
      <x:c r="Q46" s="20"/>
      <x:c r="R46" s="20"/>
      <x:c r="S46" s="20"/>
      <x:c r="T46" s="20"/>
      <x:c r="U46" s="20"/>
      <x:c r="V46" s="20"/>
      <x:c r="W46" s="20"/>
      <x:c r="X46" s="20"/>
      <x:c r="Y46" s="20"/>
      <x:c r="Z46" s="20"/>
    </x:row>
    <x:row r="47">
      <x:c r="A47" s="20" t="str">
        <x:v>Tariffs</x:v>
      </x:c>
      <x:c r="B47" s="20" t="str">
        <x:v>2026 temporary import surcharge</x:v>
      </x:c>
      <x:c r="C47" s="20" t="str">
        <x:v>Section 122 surcharge</x:v>
      </x:c>
      <x:c r="D47" s="20" t="str">
        <x:v>White House / USTR</x:v>
      </x:c>
      <x:c r="E47" s="20" t="str">
        <x:v>Policy event</x:v>
      </x:c>
      <x:c r="F47" s="20" t="str">
        <x:v>2026-02-24 to 2026-07-23</x:v>
      </x:c>
      <x:c r="G47" s="20" t="str">
        <x:v>Primary legal</x:v>
      </x:c>
      <x:c r="H47" s="20" t="str">
        <x:v>10% temporary broad import surcharge after IEEPA duties were ended.</x:v>
      </x:c>
      <x:c r="I47" s="20" t="str">
        <x:v>https://www.whitehouse.gov/presidential-actions/2026/02/imposing-a-temporary-import-surcharge-to-address-fundamental-international-payments-problems/</x:v>
      </x:c>
      <x:c r="J47" s="20" t="str">
        <x:v>Keep separate from earlier IEEPA actions.</x:v>
      </x:c>
      <x:c r="K47" s="20"/>
      <x:c r="L47" s="20"/>
      <x:c r="M47" s="20"/>
      <x:c r="N47" s="20"/>
      <x:c r="O47" s="20"/>
      <x:c r="P47" s="20"/>
      <x:c r="Q47" s="20"/>
      <x:c r="R47" s="20"/>
      <x:c r="S47" s="20"/>
      <x:c r="T47" s="20"/>
      <x:c r="U47" s="20"/>
      <x:c r="V47" s="20"/>
      <x:c r="W47" s="20"/>
      <x:c r="X47" s="20"/>
      <x:c r="Y47" s="20"/>
      <x:c r="Z47" s="20"/>
    </x:row>
    <x:row r="48">
      <x:c r="A48" s="20" t="str">
        <x:v>Tariffs</x:v>
      </x:c>
      <x:c r="B48" s="20" t="str">
        <x:v>2026 China forced-labor tariff</x:v>
      </x:c>
      <x:c r="C48" s="20" t="str">
        <x:v>Section 301 12.5% China action</x:v>
      </x:c>
      <x:c r="D48" s="20" t="str">
        <x:v>USTR / CBP</x:v>
      </x:c>
      <x:c r="E48" s="20" t="str">
        <x:v>Policy event</x:v>
      </x:c>
      <x:c r="F48" s="20" t="str">
        <x:v>Effective 2026-07-24</x:v>
      </x:c>
      <x:c r="G48" s="20" t="str">
        <x:v>Primary legal</x:v>
      </x:c>
      <x:c r="H48" s="20" t="str">
        <x:v>12.5% additional tariff on China-origin goods, subject to exclusions.</x:v>
      </x:c>
      <x:c r="I48" s="20" t="str">
        <x:v>https://ustr.gov/about/policy-offices/press-office/press-releases/2026/july/ustr-announces-section-301-action-china-forced-labor-practices</x:v>
      </x:c>
      <x:c r="J48" s="20" t="str">
        <x:v>Current policy proxy as of 2026-10-01.</x:v>
      </x:c>
      <x:c r="K48" s="20"/>
      <x:c r="L48" s="20"/>
      <x:c r="M48" s="20"/>
      <x:c r="N48" s="20"/>
      <x:c r="O48" s="20"/>
      <x:c r="P48" s="20"/>
      <x:c r="Q48" s="20"/>
      <x:c r="R48" s="20"/>
      <x:c r="S48" s="20"/>
      <x:c r="T48" s="20"/>
      <x:c r="U48" s="20"/>
      <x:c r="V48" s="20"/>
      <x:c r="W48" s="20"/>
      <x:c r="X48" s="20"/>
      <x:c r="Y48" s="20"/>
      <x:c r="Z48" s="20"/>
    </x:row>
    <x:row r="49">
      <x:c r="A49" s="20" t="str">
        <x:v>Tariffs</x:v>
      </x:c>
      <x:c r="B49" s="20" t="str">
        <x:v>Hasbro 2025 tariff cost</x:v>
      </x:c>
      <x:c r="C49" s="20" t="str">
        <x:v>2025 Form 10-K</x:v>
      </x:c>
      <x:c r="D49" s="20" t="str">
        <x:v>Hasbro, Inc.</x:v>
      </x:c>
      <x:c r="E49" s="20" t="str">
        <x:v>Annual filing</x:v>
      </x:c>
      <x:c r="F49" s="20" t="str">
        <x:v>FY 2025</x:v>
      </x:c>
      <x:c r="G49" s="20" t="str">
        <x:v>Primary corporate</x:v>
      </x:c>
      <x:c r="H49" s="20" t="str">
        <x:v>Hasbro recognized approximately $44.9M of tariff costs in 2025.</x:v>
      </x:c>
      <x:c r="I49" s="20" t="str">
        <x:v>https://investor.hasbro.com/static-files/f5824da9-0c4e-4e30-8cfe-f0b23f793c38</x:v>
      </x:c>
      <x:c r="J49" s="20" t="str">
        <x:v>Use as realized company-level magnitude, not Marvel Legends-specific cost.</x:v>
      </x:c>
      <x:c r="K49" s="20"/>
      <x:c r="L49" s="20"/>
      <x:c r="M49" s="20"/>
      <x:c r="N49" s="20"/>
      <x:c r="O49" s="20"/>
      <x:c r="P49" s="20"/>
      <x:c r="Q49" s="20"/>
      <x:c r="R49" s="20"/>
      <x:c r="S49" s="20"/>
      <x:c r="T49" s="20"/>
      <x:c r="U49" s="20"/>
      <x:c r="V49" s="20"/>
      <x:c r="W49" s="20"/>
      <x:c r="X49" s="20"/>
      <x:c r="Y49" s="20"/>
      <x:c r="Z49" s="20"/>
    </x:row>
    <x:row r="50">
      <x:c r="A50" s="20" t="str">
        <x:v>Tariffs</x:v>
      </x:c>
      <x:c r="B50" s="20" t="str">
        <x:v>Hasbro tariff scenario and pricing response</x:v>
      </x:c>
      <x:c r="C50" s="20" t="str">
        <x:v>Q1 2025 management remarks</x:v>
      </x:c>
      <x:c r="D50" s="20" t="str">
        <x:v>Hasbro, Inc.</x:v>
      </x:c>
      <x:c r="E50" s="20" t="str">
        <x:v>Quarterly remarks</x:v>
      </x:c>
      <x:c r="F50" s="20" t="str">
        <x:v>Apr. 2025</x:v>
      </x:c>
      <x:c r="G50" s="20" t="str">
        <x:v>Primary corporate</x:v>
      </x:c>
      <x:c r="H50" s="20" t="str">
        <x:v>Hasbro modelled China tariff scenarios from 50% to 145%, estimated $100M–$300M gross impact before mitigation, and discussed targeted pricing actions.</x:v>
      </x:c>
      <x:c r="I50" s="20" t="str">
        <x:v>https://investor.hasbro.com/static-files/5c5faabb-b464-4e06-9f72-9b6e18da6a06</x:v>
      </x:c>
      <x:c r="J50" s="20" t="str">
        <x:v>Important direct evidence that pricing mitigation was contemplated before Sep. 2025 MSRP change.</x:v>
      </x:c>
      <x:c r="K50" s="20"/>
      <x:c r="L50" s="20"/>
      <x:c r="M50" s="20"/>
      <x:c r="N50" s="20"/>
      <x:c r="O50" s="20"/>
      <x:c r="P50" s="20"/>
      <x:c r="Q50" s="20"/>
      <x:c r="R50" s="20"/>
      <x:c r="S50" s="20"/>
      <x:c r="T50" s="20"/>
      <x:c r="U50" s="20"/>
      <x:c r="V50" s="20"/>
      <x:c r="W50" s="20"/>
      <x:c r="X50" s="20"/>
      <x:c r="Y50" s="20"/>
      <x:c r="Z50" s="20"/>
    </x:row>
    <x:row r="51">
      <x:c r="A51" s="20" t="str">
        <x:v>Demand</x:v>
      </x:c>
      <x:c r="B51" s="20" t="str">
        <x:v>U.S. Hobby, Toy and Game Store retail sales</x:v>
      </x:c>
      <x:c r="C51" s="20" t="str">
        <x:v>MRTSSM45112USN</x:v>
      </x:c>
      <x:c r="D51" s="20" t="str">
        <x:v>U.S. Census Bureau via FRED</x:v>
      </x:c>
      <x:c r="E51" s="20" t="str">
        <x:v>Monthly</x:v>
      </x:c>
      <x:c r="F51" s="20" t="str">
        <x:v>2018-01 to 2026-07</x:v>
      </x:c>
      <x:c r="G51" s="20" t="str">
        <x:v>Candidate demand control</x:v>
      </x:c>
      <x:c r="H51" s="20" t="str">
        <x:v>Monthly retail-sales proxy for toy/hobby demand; YoY transformation used to reduce seasonality.</x:v>
      </x:c>
      <x:c r="I51" s="20" t="str">
        <x:v>https://fred.stlouisfed.org/series/MRTSSM45112USN</x:v>
      </x:c>
      <x:c r="J51" s="20" t="str">
        <x:v>Includes hobby and game stores beyond action figures; dollar sales also reflect prices. 2018 loaded only to calculate 2019 YoY growth.</x:v>
      </x:c>
      <x:c r="K51" s="20"/>
      <x:c r="L51" s="20"/>
      <x:c r="M51" s="20"/>
      <x:c r="N51" s="20"/>
      <x:c r="O51" s="20"/>
      <x:c r="P51" s="20"/>
      <x:c r="Q51" s="20"/>
      <x:c r="R51" s="20"/>
      <x:c r="S51" s="20"/>
      <x:c r="T51" s="20"/>
      <x:c r="U51" s="20"/>
      <x:c r="V51" s="20"/>
      <x:c r="W51" s="20"/>
      <x:c r="X51" s="20"/>
      <x:c r="Y51" s="20"/>
      <x:c r="Z51" s="20"/>
    </x:row>
    <x:row r="52">
      <x:c r="A52" s="20" t="str">
        <x:v>Demand</x:v>
      </x:c>
      <x:c r="B52" s="20" t="str">
        <x:v>U.S. Action Figures &amp; Accessories retail sales</x:v>
      </x:c>
      <x:c r="C52" s="20" t="str">
        <x:v>Circana Retail Tracking Service</x:v>
      </x:c>
      <x:c r="D52" s="20" t="str">
        <x:v>Circana via The Toy Association</x:v>
      </x:c>
      <x:c r="E52" s="20" t="str">
        <x:v>Annual</x:v>
      </x:c>
      <x:c r="F52" s="20" t="str">
        <x:v>2019–2025</x:v>
      </x:c>
      <x:c r="G52" s="20" t="str">
        <x:v>Demand context</x:v>
      </x:c>
      <x:c r="H52" s="20" t="str">
        <x:v>Action-figure-specific retail dollar-sales trend across study window.</x:v>
      </x:c>
      <x:c r="I52" s="20" t="str">
        <x:v>https://toyassociation.org/ta/toys/research-and-data/data/us-sales-data.aspx?hkey=acea06b5-22e0-4bcc-a3bc-03532459e00d</x:v>
      </x:c>
      <x:c r="J52" s="20" t="str">
        <x:v>2019-2024 from prior published table; 2025 page confirms 2021-2025 values. Circana warns panel/category revisions can alter historical volumes. Use descriptively, not as pure quantity-demand measure.</x:v>
      </x:c>
      <x:c r="K52" s="20"/>
      <x:c r="L52" s="20"/>
      <x:c r="M52" s="20"/>
      <x:c r="N52" s="20"/>
      <x:c r="O52" s="20"/>
      <x:c r="P52" s="20"/>
      <x:c r="Q52" s="20"/>
      <x:c r="R52" s="20"/>
      <x:c r="S52" s="20"/>
      <x:c r="T52" s="20"/>
      <x:c r="U52" s="20"/>
      <x:c r="V52" s="20"/>
      <x:c r="W52" s="20"/>
      <x:c r="X52" s="20"/>
      <x:c r="Y52" s="20"/>
      <x:c r="Z52" s="20"/>
    </x:row>
    <x:row r="53">
      <x:c r="A53" s="20" t="str">
        <x:v>Demand</x:v>
      </x:c>
      <x:c r="B53" s="20" t="str">
        <x:v>2022 U.S. toy units / ASP</x:v>
      </x:c>
      <x:c r="C53" s="20" t="str">
        <x:v>NPD U.S. Toy Industry 2022</x:v>
      </x:c>
      <x:c r="D53" s="20" t="str">
        <x:v>NPD/Circana via The Toy Association</x:v>
      </x:c>
      <x:c r="E53" s="20" t="str">
        <x:v>Annual</x:v>
      </x:c>
      <x:c r="F53" s="20" t="str">
        <x:v>2022</x:v>
      </x:c>
      <x:c r="G53" s="20" t="str">
        <x:v>Demand context</x:v>
      </x:c>
      <x:c r="H53" s="20" t="str">
        <x:v>Separates unit decline (-4%) from ASP increase (+3%) while dollar sales were essentially flat.</x:v>
      </x:c>
      <x:c r="I53" s="20" t="str">
        <x:v>https://www.toyassociation.org/ta/PressRoom2/News/2023_News/npd-us-toy-industry-sales-flat-in-2022.aspx</x:v>
      </x:c>
      <x:c r="J53" s="20" t="str">
        <x:v>Useful evidence that retail dollars alone can conceal weaker quantity demand.</x:v>
      </x:c>
      <x:c r="K53" s="20"/>
      <x:c r="L53" s="20"/>
      <x:c r="M53" s="20"/>
      <x:c r="N53" s="20"/>
      <x:c r="O53" s="20"/>
      <x:c r="P53" s="20"/>
      <x:c r="Q53" s="20"/>
      <x:c r="R53" s="20"/>
      <x:c r="S53" s="20"/>
      <x:c r="T53" s="20"/>
      <x:c r="U53" s="20"/>
      <x:c r="V53" s="20"/>
      <x:c r="W53" s="20"/>
      <x:c r="X53" s="20"/>
      <x:c r="Y53" s="20"/>
      <x:c r="Z53" s="20"/>
    </x:row>
    <x:row r="54">
      <x:c r="A54" s="20" t="str">
        <x:v>Demand</x:v>
      </x:c>
      <x:c r="B54" s="20" t="str">
        <x:v>2023 U.S. toy spending conditions</x:v>
      </x:c>
      <x:c r="C54" s="20" t="str">
        <x:v>Circana U.S. Toy Industry 2023</x:v>
      </x:c>
      <x:c r="D54" s="20" t="str">
        <x:v>Circana via The Toy Association</x:v>
      </x:c>
      <x:c r="E54" s="20" t="str">
        <x:v>Annual</x:v>
      </x:c>
      <x:c r="F54" s="20" t="str">
        <x:v>2023</x:v>
      </x:c>
      <x:c r="G54" s="20" t="str">
        <x:v>Demand context</x:v>
      </x:c>
      <x:c r="H54" s="20" t="str">
        <x:v>Documents 8% dollar-sales decline and consumer spending pressure; Marvel remained a top toy property.</x:v>
      </x:c>
      <x:c r="I54" s="20" t="str">
        <x:v>https://www.toyassociation.org/ta/PressRoom2/News/2024_News/circana-us-toy-industry-sales-decline-8-percent-in-2023.aspx</x:v>
      </x:c>
      <x:c r="J54" s="20" t="str">
        <x:v>Full-year unit figure not used because cited public summary gives unit decline specifically for Q4.</x:v>
      </x:c>
      <x:c r="K54" s="20"/>
      <x:c r="L54" s="20"/>
      <x:c r="M54" s="20"/>
      <x:c r="N54" s="20"/>
      <x:c r="O54" s="20"/>
      <x:c r="P54" s="20"/>
      <x:c r="Q54" s="20"/>
      <x:c r="R54" s="20"/>
      <x:c r="S54" s="20"/>
      <x:c r="T54" s="20"/>
      <x:c r="U54" s="20"/>
      <x:c r="V54" s="20"/>
      <x:c r="W54" s="20"/>
      <x:c r="X54" s="20"/>
      <x:c r="Y54" s="20"/>
      <x:c r="Z54" s="20"/>
    </x:row>
    <x:row r="55">
      <x:c r="A55" s="20" t="str">
        <x:v>Demand</x:v>
      </x:c>
      <x:c r="B55" s="20" t="str">
        <x:v>2024 U.S. toy market stabilization / adult demand</x:v>
      </x:c>
      <x:c r="C55" s="20" t="str">
        <x:v>Circana 2024 Toy Sales</x:v>
      </x:c>
      <x:c r="D55" s="20" t="str">
        <x:v>Circana / The Toy Association</x:v>
      </x:c>
      <x:c r="E55" s="20" t="str">
        <x:v>Annual</x:v>
      </x:c>
      <x:c r="F55" s="20" t="str">
        <x:v>2024</x:v>
      </x:c>
      <x:c r="G55" s="20" t="str">
        <x:v>Demand context</x:v>
      </x:c>
      <x:c r="H55" s="20" t="str">
        <x:v>Documents flat U.S. toy dollars, near-flat ASP, adult-market support, and collectible growth.</x:v>
      </x:c>
      <x:c r="I55" s="20" t="str">
        <x:v>https://www.toyassociation.org/PressRoom2/News/2025_News/circana-us-2024-toy-sales-remain-flat-moving-from-correction-to-consistency.aspx</x:v>
      </x:c>
      <x:c r="J55" s="20" t="str">
        <x:v>Use as broad demand context.</x:v>
      </x:c>
      <x:c r="K55" s="20"/>
      <x:c r="L55" s="20"/>
      <x:c r="M55" s="20"/>
      <x:c r="N55" s="20"/>
      <x:c r="O55" s="20"/>
      <x:c r="P55" s="20"/>
      <x:c r="Q55" s="20"/>
      <x:c r="R55" s="20"/>
      <x:c r="S55" s="20"/>
      <x:c r="T55" s="20"/>
      <x:c r="U55" s="20"/>
      <x:c r="V55" s="20"/>
      <x:c r="W55" s="20"/>
      <x:c r="X55" s="20"/>
      <x:c r="Y55" s="20"/>
      <x:c r="Z55" s="20"/>
    </x:row>
    <x:row r="56">
      <x:c r="A56" s="20" t="str">
        <x:v>Demand</x:v>
      </x:c>
      <x:c r="B56" s="20" t="str">
        <x:v>2025 U.S. toy units, ASP and action-figure sales</x:v>
      </x:c>
      <x:c r="C56" s="20" t="str">
        <x:v>Circana 2025 U.S. Toy Sales</x:v>
      </x:c>
      <x:c r="D56" s="20" t="str">
        <x:v>Circana / The Toy Association</x:v>
      </x:c>
      <x:c r="E56" s="20" t="str">
        <x:v>Annual</x:v>
      </x:c>
      <x:c r="F56" s="20" t="str">
        <x:v>2025</x:v>
      </x:c>
      <x:c r="G56" s="20" t="str">
        <x:v>Demand context</x:v>
      </x:c>
      <x:c r="H56" s="20" t="str">
        <x:v>2025 dollars +6%, units +3%, ASP +4%; action figures &amp; accessories $2.1B, +6%.</x:v>
      </x:c>
      <x:c r="I56" s="20" t="str">
        <x:v>https://www.toyassociation.org/ta/PressRoom2/News/2026-News/us-toy-industry-returns-to-growth-in-2025-circana-reports.aspx</x:v>
      </x:c>
      <x:c r="J56" s="20" t="str">
        <x:v>Unit growth provides stronger demand evidence than dollars alone.</x:v>
      </x:c>
      <x:c r="K56" s="20"/>
      <x:c r="L56" s="20"/>
      <x:c r="M56" s="20"/>
      <x:c r="N56" s="20"/>
      <x:c r="O56" s="20"/>
      <x:c r="P56" s="20"/>
      <x:c r="Q56" s="20"/>
      <x:c r="R56" s="20"/>
      <x:c r="S56" s="20"/>
      <x:c r="T56" s="20"/>
      <x:c r="U56" s="20"/>
      <x:c r="V56" s="20"/>
      <x:c r="W56" s="20"/>
      <x:c r="X56" s="20"/>
      <x:c r="Y56" s="20"/>
      <x:c r="Z56" s="20"/>
    </x:row>
    <x:row r="57">
      <x:c r="A57" s="20" t="str">
        <x:v>Demand</x:v>
      </x:c>
      <x:c r="B57" s="20" t="str">
        <x:v>2026 U.S. toy demand through April</x:v>
      </x:c>
      <x:c r="C57" s="20" t="str">
        <x:v>Circana 2026 YTD Toy Sales</x:v>
      </x:c>
      <x:c r="D57" s="20" t="str">
        <x:v>Circana / The Toy Association</x:v>
      </x:c>
      <x:c r="E57" s="20" t="str">
        <x:v>YTD</x:v>
      </x:c>
      <x:c r="F57" s="20" t="str">
        <x:v>Jan–Apr 2026</x:v>
      </x:c>
      <x:c r="G57" s="20" t="str">
        <x:v>Current demand context</x:v>
      </x:c>
      <x:c r="H57" s="20" t="str">
        <x:v>Dollar sales +13%, units +5%, ASP +7%; adults 18+ accounted for 35% of industry growth.</x:v>
      </x:c>
      <x:c r="I57" s="20" t="str">
        <x:v>https://www.toyassociation.org/PressRoom2/News/2026-News/circana-us-toy-industry-posts-double-digit-growth-through-april.aspx</x:v>
      </x:c>
      <x:c r="J57" s="20" t="str">
        <x:v>Not full-year; use only as current 2026 context.</x:v>
      </x:c>
      <x:c r="K57" s="20"/>
      <x:c r="L57" s="20"/>
      <x:c r="M57" s="20"/>
      <x:c r="N57" s="20"/>
      <x:c r="O57" s="20"/>
      <x:c r="P57" s="20"/>
      <x:c r="Q57" s="20"/>
      <x:c r="R57" s="20"/>
      <x:c r="S57" s="20"/>
      <x:c r="T57" s="20"/>
      <x:c r="U57" s="20"/>
      <x:c r="V57" s="20"/>
      <x:c r="W57" s="20"/>
      <x:c r="X57" s="20"/>
      <x:c r="Y57" s="20"/>
      <x:c r="Z57" s="20"/>
    </x:row>
    <x:row r="58">
      <x:c r="A58" s="20" t="str">
        <x:v>Demand</x:v>
      </x:c>
      <x:c r="B58" s="20" t="str">
        <x:v>Hasbro Action Figures &amp; Accessories share</x:v>
      </x:c>
      <x:c r="C58" s="20" t="str">
        <x:v>Q3 2023 / Q3 2024 / FY 2025</x:v>
      </x:c>
      <x:c r="D58" s="20" t="str">
        <x:v>Hasbro / Circana</x:v>
      </x:c>
      <x:c r="E58" s="20" t="str">
        <x:v>Quarterly / annual</x:v>
      </x:c>
      <x:c r="F58" s="20" t="str">
        <x:v>2023–2025</x:v>
      </x:c>
      <x:c r="G58" s="20" t="str">
        <x:v>Company-specific demand validation</x:v>
      </x:c>
      <x:c r="H58" s="20" t="str">
        <x:v>Hasbro held roughly one-quarter of measured action-figure category and #1 position.</x:v>
      </x:c>
      <x:c r="I58" s="20" t="str">
        <x:v>https://investor.hasbro.com/static-files/8cd9c02e-388e-4d85-8c35-e9d21dbe21bb</x:v>
      </x:c>
      <x:c r="J58" s="20" t="str">
        <x:v>Underlying Circana geography varies by presentation; do not splice into a continuous series.</x:v>
      </x:c>
      <x:c r="K58" s="20"/>
      <x:c r="L58" s="20"/>
      <x:c r="M58" s="20"/>
      <x:c r="N58" s="20"/>
      <x:c r="O58" s="20"/>
      <x:c r="P58" s="20"/>
      <x:c r="Q58" s="20"/>
      <x:c r="R58" s="20"/>
      <x:c r="S58" s="20"/>
      <x:c r="T58" s="20"/>
      <x:c r="U58" s="20"/>
      <x:c r="V58" s="20"/>
      <x:c r="W58" s="20"/>
      <x:c r="X58" s="20"/>
      <x:c r="Y58" s="20"/>
      <x:c r="Z58" s="20"/>
    </x:row>
    <x:row r="59">
      <x:c r="A59" s="20" t="str">
        <x:v>Demand</x:v>
      </x:c>
      <x:c r="B59" s="20" t="str">
        <x:v>Hasbro Action Figures &amp; Accessories growth</x:v>
      </x:c>
      <x:c r="C59" s="20" t="str">
        <x:v>Q1 2026 GEM2 category performance</x:v>
      </x:c>
      <x:c r="D59" s="20" t="str">
        <x:v>Hasbro / Circana</x:v>
      </x:c>
      <x:c r="E59" s="20" t="str">
        <x:v>Quarterly</x:v>
      </x:c>
      <x:c r="F59" s="20" t="str">
        <x:v>Q1 2026</x:v>
      </x:c>
      <x:c r="G59" s="20" t="str">
        <x:v>Company-specific current demand validation</x:v>
      </x:c>
      <x:c r="H59" s="20" t="str">
        <x:v>Action Figures &amp; Accessories POS +12.8% and share +0.7 points; Marvel listed among Hasbro POS-growth brands.</x:v>
      </x:c>
      <x:c r="I59" s="20" t="str">
        <x:v>https://investor.hasbro.com/static-files/fc1140e3-649c-4700-be11-bf3ab18ceb8b</x:v>
      </x:c>
      <x:c r="J59" s="20" t="str">
        <x:v>G7 geography; direct Hasbro presentation; not Marvel Legends-specific.</x:v>
      </x:c>
      <x:c r="K59" s="20"/>
      <x:c r="L59" s="20"/>
      <x:c r="M59" s="20"/>
      <x:c r="N59" s="20"/>
      <x:c r="O59" s="20"/>
      <x:c r="P59" s="20"/>
      <x:c r="Q59" s="20"/>
      <x:c r="R59" s="20"/>
      <x:c r="S59" s="20"/>
      <x:c r="T59" s="20"/>
      <x:c r="U59" s="20"/>
      <x:c r="V59" s="20"/>
      <x:c r="W59" s="20"/>
      <x:c r="X59" s="20"/>
      <x:c r="Y59" s="20"/>
      <x:c r="Z59" s="20"/>
    </x:row>
    <x:row r="60">
      <x:c r="A60" s="20" t="str">
        <x:v>Labor</x:v>
      </x:c>
      <x:c r="B60" s="20" t="str">
        <x:v>Hasbro China sourcing exposure</x:v>
      </x:c>
      <x:c r="C60" s="20" t="str">
        <x:v>~50% of U.S. toy and game volume from China in 2025</x:v>
      </x:c>
      <x:c r="D60" s="20" t="str">
        <x:v>Hasbro, Inc.</x:v>
      </x:c>
      <x:c r="E60" s="20" t="str">
        <x:v>Management disclosure</x:v>
      </x:c>
      <x:c r="F60" s="20" t="str">
        <x:v>2025</x:v>
      </x:c>
      <x:c r="G60" s="20" t="str">
        <x:v>Primary corporate</x:v>
      </x:c>
      <x:c r="H60" s="20" t="str">
        <x:v>Used only as an exposure anchor in the labor base-case sensitivity; Hasbro did not disclose Marvel Legends-specific country weights or the exact composition of the non-China half.</x:v>
      </x:c>
      <x:c r="I60" s="20" t="str">
        <x:v>https://investor.hasbro.com/static-files/005be71f-0c3f-4e8a-800e-06ecd698c19c</x:v>
      </x:c>
      <x:c r="J60" s="20" t="str">
        <x:v>Hasbro also stated plans to reduce China exposure to less than 40% by 2027.</x:v>
      </x:c>
      <x:c r="K60" s="20"/>
      <x:c r="L60" s="20"/>
      <x:c r="M60" s="20"/>
      <x:c r="N60" s="20"/>
      <x:c r="O60" s="20"/>
      <x:c r="P60" s="20"/>
      <x:c r="Q60" s="20"/>
      <x:c r="R60" s="20"/>
      <x:c r="S60" s="20"/>
      <x:c r="T60" s="20"/>
      <x:c r="U60" s="20"/>
      <x:c r="V60" s="20"/>
      <x:c r="W60" s="20"/>
      <x:c r="X60" s="20"/>
      <x:c r="Y60" s="20"/>
      <x:c r="Z60" s="20"/>
    </x:row>
    <x:row r="61">
      <x:c r="A61" s="20"/>
      <x:c r="B61" s="20"/>
      <x:c r="C61" s="20"/>
      <x:c r="D61" s="20"/>
      <x:c r="E61" s="20"/>
      <x:c r="F61" s="20"/>
      <x:c r="G61" s="20"/>
      <x:c r="H61" s="20"/>
      <x:c r="I61" s="20"/>
      <x:c r="J61" s="20"/>
      <x:c r="K61" s="20"/>
      <x:c r="L61" s="20"/>
      <x:c r="M61" s="20"/>
      <x:c r="N61" s="20"/>
      <x:c r="O61" s="20"/>
      <x:c r="P61" s="20"/>
      <x:c r="Q61" s="20"/>
      <x:c r="R61" s="20"/>
      <x:c r="S61" s="20"/>
      <x:c r="T61" s="20"/>
      <x:c r="U61" s="20"/>
      <x:c r="V61" s="20"/>
      <x:c r="W61" s="20"/>
      <x:c r="X61" s="20"/>
      <x:c r="Y61" s="20"/>
      <x:c r="Z61" s="20"/>
    </x:row>
    <x:row r="62">
      <x:c r="A62" s="20"/>
      <x:c r="B62" s="20"/>
      <x:c r="C62" s="20"/>
      <x:c r="D62" s="20"/>
      <x:c r="E62" s="20"/>
      <x:c r="F62" s="20"/>
      <x:c r="G62" s="20"/>
      <x:c r="H62" s="20"/>
      <x:c r="I62" s="20"/>
      <x:c r="J62" s="20"/>
      <x:c r="K62" s="20"/>
      <x:c r="L62" s="20"/>
      <x:c r="M62" s="20"/>
      <x:c r="N62" s="20"/>
      <x:c r="O62" s="20"/>
      <x:c r="P62" s="20"/>
      <x:c r="Q62" s="20"/>
      <x:c r="R62" s="20"/>
      <x:c r="S62" s="20"/>
      <x:c r="T62" s="20"/>
      <x:c r="U62" s="20"/>
      <x:c r="V62" s="20"/>
      <x:c r="W62" s="20"/>
      <x:c r="X62" s="20"/>
      <x:c r="Y62" s="20"/>
      <x:c r="Z62" s="20"/>
    </x:row>
    <x:row r="63">
      <x:c r="A63" s="20"/>
      <x:c r="B63" s="20"/>
      <x:c r="C63" s="20"/>
      <x:c r="D63" s="20"/>
      <x:c r="E63" s="20"/>
      <x:c r="F63" s="20"/>
      <x:c r="G63" s="20"/>
      <x:c r="H63" s="20"/>
      <x:c r="I63" s="20"/>
      <x:c r="J63" s="20"/>
      <x:c r="K63" s="20"/>
      <x:c r="L63" s="20"/>
      <x:c r="M63" s="20"/>
      <x:c r="N63" s="20"/>
      <x:c r="O63" s="20"/>
      <x:c r="P63" s="20"/>
      <x:c r="Q63" s="20"/>
      <x:c r="R63" s="20"/>
      <x:c r="S63" s="20"/>
      <x:c r="T63" s="20"/>
      <x:c r="U63" s="20"/>
      <x:c r="V63" s="20"/>
      <x:c r="W63" s="20"/>
      <x:c r="X63" s="20"/>
      <x:c r="Y63" s="20"/>
      <x:c r="Z63" s="20"/>
    </x:row>
    <x:row r="64">
      <x:c r="A64" s="20"/>
      <x:c r="B64" s="20"/>
      <x:c r="C64" s="20"/>
      <x:c r="D64" s="20"/>
      <x:c r="E64" s="20"/>
      <x:c r="F64" s="20"/>
      <x:c r="G64" s="20"/>
      <x:c r="H64" s="20"/>
      <x:c r="I64" s="20"/>
      <x:c r="J64" s="20"/>
      <x:c r="K64" s="20"/>
      <x:c r="L64" s="20"/>
      <x:c r="M64" s="20"/>
      <x:c r="N64" s="20"/>
      <x:c r="O64" s="20"/>
      <x:c r="P64" s="20"/>
      <x:c r="Q64" s="20"/>
      <x:c r="R64" s="20"/>
      <x:c r="S64" s="20"/>
      <x:c r="T64" s="20"/>
      <x:c r="U64" s="20"/>
      <x:c r="V64" s="20"/>
      <x:c r="W64" s="20"/>
      <x:c r="X64" s="20"/>
      <x:c r="Y64" s="20"/>
      <x:c r="Z64" s="20"/>
    </x:row>
    <x:row r="65">
      <x:c r="A65" s="20"/>
      <x:c r="B65" s="20"/>
      <x:c r="C65" s="20"/>
      <x:c r="D65" s="20"/>
      <x:c r="E65" s="20"/>
      <x:c r="F65" s="20"/>
      <x:c r="G65" s="20"/>
      <x:c r="H65" s="20"/>
      <x:c r="I65" s="20"/>
      <x:c r="J65" s="20"/>
      <x:c r="K65" s="20"/>
      <x:c r="L65" s="20"/>
      <x:c r="M65" s="20"/>
      <x:c r="N65" s="20"/>
      <x:c r="O65" s="20"/>
      <x:c r="P65" s="20"/>
      <x:c r="Q65" s="20"/>
      <x:c r="R65" s="20"/>
      <x:c r="S65" s="20"/>
      <x:c r="T65" s="20"/>
      <x:c r="U65" s="20"/>
      <x:c r="V65" s="20"/>
      <x:c r="W65" s="20"/>
      <x:c r="X65" s="20"/>
      <x:c r="Y65" s="20"/>
      <x:c r="Z65" s="20"/>
    </x:row>
    <x:row r="66">
      <x:c r="A66" s="20"/>
      <x:c r="B66" s="20"/>
      <x:c r="C66" s="20"/>
      <x:c r="D66" s="20"/>
      <x:c r="E66" s="20"/>
      <x:c r="F66" s="20"/>
      <x:c r="G66" s="20"/>
      <x:c r="H66" s="20"/>
      <x:c r="I66" s="20"/>
      <x:c r="J66" s="20"/>
      <x:c r="K66" s="20"/>
      <x:c r="L66" s="20"/>
      <x:c r="M66" s="20"/>
      <x:c r="N66" s="20"/>
      <x:c r="O66" s="20"/>
      <x:c r="P66" s="20"/>
      <x:c r="Q66" s="20"/>
      <x:c r="R66" s="20"/>
      <x:c r="S66" s="20"/>
      <x:c r="T66" s="20"/>
      <x:c r="U66" s="20"/>
      <x:c r="V66" s="20"/>
      <x:c r="W66" s="20"/>
      <x:c r="X66" s="20"/>
      <x:c r="Y66" s="20"/>
      <x:c r="Z66" s="20"/>
    </x:row>
    <x:row r="67">
      <x:c r="A67" s="20"/>
      <x:c r="B67" s="20"/>
      <x:c r="C67" s="20"/>
      <x:c r="D67" s="20"/>
      <x:c r="E67" s="20"/>
      <x:c r="F67" s="20"/>
      <x:c r="G67" s="20"/>
      <x:c r="H67" s="20"/>
      <x:c r="I67" s="20"/>
      <x:c r="J67" s="20"/>
      <x:c r="K67" s="20"/>
      <x:c r="L67" s="20"/>
      <x:c r="M67" s="20"/>
      <x:c r="N67" s="20"/>
      <x:c r="O67" s="20"/>
      <x:c r="P67" s="20"/>
      <x:c r="Q67" s="20"/>
      <x:c r="R67" s="20"/>
      <x:c r="S67" s="20"/>
      <x:c r="T67" s="20"/>
      <x:c r="U67" s="20"/>
      <x:c r="V67" s="20"/>
      <x:c r="W67" s="20"/>
      <x:c r="X67" s="20"/>
      <x:c r="Y67" s="20"/>
      <x:c r="Z67" s="20"/>
    </x:row>
    <x:row r="68">
      <x:c r="A68" s="20"/>
      <x:c r="B68" s="20"/>
      <x:c r="C68" s="20"/>
      <x:c r="D68" s="20"/>
      <x:c r="E68" s="20"/>
      <x:c r="F68" s="20"/>
      <x:c r="G68" s="20"/>
      <x:c r="H68" s="20"/>
      <x:c r="I68" s="20"/>
      <x:c r="J68" s="20"/>
      <x:c r="K68" s="20"/>
      <x:c r="L68" s="20"/>
      <x:c r="M68" s="20"/>
      <x:c r="N68" s="20"/>
      <x:c r="O68" s="20"/>
      <x:c r="P68" s="20"/>
      <x:c r="Q68" s="20"/>
      <x:c r="R68" s="20"/>
      <x:c r="S68" s="20"/>
      <x:c r="T68" s="20"/>
      <x:c r="U68" s="20"/>
      <x:c r="V68" s="20"/>
      <x:c r="W68" s="20"/>
      <x:c r="X68" s="20"/>
      <x:c r="Y68" s="20"/>
      <x:c r="Z68" s="20"/>
    </x:row>
    <x:row r="69">
      <x:c r="A69" s="20"/>
      <x:c r="B69" s="20"/>
      <x:c r="C69" s="20"/>
      <x:c r="D69" s="20"/>
      <x:c r="E69" s="20"/>
      <x:c r="F69" s="20"/>
      <x:c r="G69" s="20"/>
      <x:c r="H69" s="20"/>
      <x:c r="I69" s="20"/>
      <x:c r="J69" s="20"/>
      <x:c r="K69" s="20"/>
      <x:c r="L69" s="20"/>
      <x:c r="M69" s="20"/>
      <x:c r="N69" s="20"/>
      <x:c r="O69" s="20"/>
      <x:c r="P69" s="20"/>
      <x:c r="Q69" s="20"/>
      <x:c r="R69" s="20"/>
      <x:c r="S69" s="20"/>
      <x:c r="T69" s="20"/>
      <x:c r="U69" s="20"/>
      <x:c r="V69" s="20"/>
      <x:c r="W69" s="20"/>
      <x:c r="X69" s="20"/>
      <x:c r="Y69" s="20"/>
      <x:c r="Z69" s="20"/>
    </x:row>
    <x:row r="70">
      <x:c r="A70" s="20"/>
      <x:c r="B70" s="20"/>
      <x:c r="C70" s="20"/>
      <x:c r="D70" s="20"/>
      <x:c r="E70" s="20"/>
      <x:c r="F70" s="20"/>
      <x:c r="G70" s="20"/>
      <x:c r="H70" s="20"/>
      <x:c r="I70" s="20"/>
      <x:c r="J70" s="20"/>
      <x:c r="K70" s="20"/>
      <x:c r="L70" s="20"/>
      <x:c r="M70" s="20"/>
      <x:c r="N70" s="20"/>
      <x:c r="O70" s="20"/>
      <x:c r="P70" s="20"/>
      <x:c r="Q70" s="20"/>
      <x:c r="R70" s="20"/>
      <x:c r="S70" s="20"/>
      <x:c r="T70" s="20"/>
      <x:c r="U70" s="20"/>
      <x:c r="V70" s="20"/>
      <x:c r="W70" s="20"/>
      <x:c r="X70" s="20"/>
      <x:c r="Y70" s="20"/>
      <x:c r="Z70" s="20"/>
    </x:row>
    <x:row r="71">
      <x:c r="A71" s="20"/>
      <x:c r="B71" s="20"/>
      <x:c r="C71" s="20"/>
      <x:c r="D71" s="20"/>
      <x:c r="E71" s="20"/>
      <x:c r="F71" s="20"/>
      <x:c r="G71" s="20"/>
      <x:c r="H71" s="20"/>
      <x:c r="I71" s="20"/>
      <x:c r="J71" s="20"/>
      <x:c r="K71" s="20"/>
      <x:c r="L71" s="20"/>
      <x:c r="M71" s="20"/>
      <x:c r="N71" s="20"/>
      <x:c r="O71" s="20"/>
      <x:c r="P71" s="20"/>
      <x:c r="Q71" s="20"/>
      <x:c r="R71" s="20"/>
      <x:c r="S71" s="20"/>
      <x:c r="T71" s="20"/>
      <x:c r="U71" s="20"/>
      <x:c r="V71" s="20"/>
      <x:c r="W71" s="20"/>
      <x:c r="X71" s="20"/>
      <x:c r="Y71" s="20"/>
      <x:c r="Z71" s="20"/>
    </x:row>
    <x:row r="72">
      <x:c r="A72" s="20"/>
      <x:c r="B72" s="20"/>
      <x:c r="C72" s="20"/>
      <x:c r="D72" s="20"/>
      <x:c r="E72" s="20"/>
      <x:c r="F72" s="20"/>
      <x:c r="G72" s="20"/>
      <x:c r="H72" s="20"/>
      <x:c r="I72" s="20"/>
      <x:c r="J72" s="20"/>
      <x:c r="K72" s="20"/>
      <x:c r="L72" s="20"/>
      <x:c r="M72" s="20"/>
      <x:c r="N72" s="20"/>
      <x:c r="O72" s="20"/>
      <x:c r="P72" s="20"/>
      <x:c r="Q72" s="20"/>
      <x:c r="R72" s="20"/>
      <x:c r="S72" s="20"/>
      <x:c r="T72" s="20"/>
      <x:c r="U72" s="20"/>
      <x:c r="V72" s="20"/>
      <x:c r="W72" s="20"/>
      <x:c r="X72" s="20"/>
      <x:c r="Y72" s="20"/>
      <x:c r="Z72" s="20"/>
    </x:row>
    <x:row r="73">
      <x:c r="A73" s="20"/>
      <x:c r="B73" s="20"/>
      <x:c r="C73" s="20"/>
      <x:c r="D73" s="20"/>
      <x:c r="E73" s="20"/>
      <x:c r="F73" s="20"/>
      <x:c r="G73" s="20"/>
      <x:c r="H73" s="20"/>
      <x:c r="I73" s="20"/>
      <x:c r="J73" s="20"/>
      <x:c r="K73" s="20"/>
      <x:c r="L73" s="20"/>
      <x:c r="M73" s="20"/>
      <x:c r="N73" s="20"/>
      <x:c r="O73" s="20"/>
      <x:c r="P73" s="20"/>
      <x:c r="Q73" s="20"/>
      <x:c r="R73" s="20"/>
      <x:c r="S73" s="20"/>
      <x:c r="T73" s="20"/>
      <x:c r="U73" s="20"/>
      <x:c r="V73" s="20"/>
      <x:c r="W73" s="20"/>
      <x:c r="X73" s="20"/>
      <x:c r="Y73" s="20"/>
      <x:c r="Z73" s="20"/>
    </x:row>
    <x:row r="74">
      <x:c r="A74" s="20"/>
      <x:c r="B74" s="20"/>
      <x:c r="C74" s="20"/>
      <x:c r="D74" s="20"/>
      <x:c r="E74" s="20"/>
      <x:c r="F74" s="20"/>
      <x:c r="G74" s="20"/>
      <x:c r="H74" s="20"/>
      <x:c r="I74" s="20"/>
      <x:c r="J74" s="20"/>
      <x:c r="K74" s="20"/>
      <x:c r="L74" s="20"/>
      <x:c r="M74" s="20"/>
      <x:c r="N74" s="20"/>
      <x:c r="O74" s="20"/>
      <x:c r="P74" s="20"/>
      <x:c r="Q74" s="20"/>
      <x:c r="R74" s="20"/>
      <x:c r="S74" s="20"/>
      <x:c r="T74" s="20"/>
      <x:c r="U74" s="20"/>
      <x:c r="V74" s="20"/>
      <x:c r="W74" s="20"/>
      <x:c r="X74" s="20"/>
      <x:c r="Y74" s="20"/>
      <x:c r="Z74" s="20"/>
    </x:row>
    <x:row r="75">
      <x:c r="A75" s="20"/>
      <x:c r="B75" s="20"/>
      <x:c r="C75" s="20"/>
      <x:c r="D75" s="20"/>
      <x:c r="E75" s="20"/>
      <x:c r="F75" s="20"/>
      <x:c r="G75" s="20"/>
      <x:c r="H75" s="20"/>
      <x:c r="I75" s="20"/>
      <x:c r="J75" s="20"/>
      <x:c r="K75" s="20"/>
      <x:c r="L75" s="20"/>
      <x:c r="M75" s="20"/>
      <x:c r="N75" s="20"/>
      <x:c r="O75" s="20"/>
      <x:c r="P75" s="20"/>
      <x:c r="Q75" s="20"/>
      <x:c r="R75" s="20"/>
      <x:c r="S75" s="20"/>
      <x:c r="T75" s="20"/>
      <x:c r="U75" s="20"/>
      <x:c r="V75" s="20"/>
      <x:c r="W75" s="20"/>
      <x:c r="X75" s="20"/>
      <x:c r="Y75" s="20"/>
      <x:c r="Z75" s="20"/>
    </x:row>
    <x:row r="76">
      <x:c r="A76" s="20"/>
      <x:c r="B76" s="20"/>
      <x:c r="C76" s="20"/>
      <x:c r="D76" s="20"/>
      <x:c r="E76" s="20"/>
      <x:c r="F76" s="20"/>
      <x:c r="G76" s="20"/>
      <x:c r="H76" s="20"/>
      <x:c r="I76" s="20"/>
      <x:c r="J76" s="20"/>
      <x:c r="K76" s="20"/>
      <x:c r="L76" s="20"/>
      <x:c r="M76" s="20"/>
      <x:c r="N76" s="20"/>
      <x:c r="O76" s="20"/>
      <x:c r="P76" s="20"/>
      <x:c r="Q76" s="20"/>
      <x:c r="R76" s="20"/>
      <x:c r="S76" s="20"/>
      <x:c r="T76" s="20"/>
      <x:c r="U76" s="20"/>
      <x:c r="V76" s="20"/>
      <x:c r="W76" s="20"/>
      <x:c r="X76" s="20"/>
      <x:c r="Y76" s="20"/>
      <x:c r="Z76" s="20"/>
    </x:row>
    <x:row r="77">
      <x:c r="A77" s="20"/>
      <x:c r="B77" s="20"/>
      <x:c r="C77" s="20"/>
      <x:c r="D77" s="20"/>
      <x:c r="E77" s="20"/>
      <x:c r="F77" s="20"/>
      <x:c r="G77" s="20"/>
      <x:c r="H77" s="20"/>
      <x:c r="I77" s="20"/>
      <x:c r="J77" s="20"/>
      <x:c r="K77" s="20"/>
      <x:c r="L77" s="20"/>
      <x:c r="M77" s="20"/>
      <x:c r="N77" s="20"/>
      <x:c r="O77" s="20"/>
      <x:c r="P77" s="20"/>
      <x:c r="Q77" s="20"/>
      <x:c r="R77" s="20"/>
      <x:c r="S77" s="20"/>
      <x:c r="T77" s="20"/>
      <x:c r="U77" s="20"/>
      <x:c r="V77" s="20"/>
      <x:c r="W77" s="20"/>
      <x:c r="X77" s="20"/>
      <x:c r="Y77" s="20"/>
      <x:c r="Z77" s="20"/>
    </x:row>
    <x:row r="78">
      <x:c r="A78" s="20"/>
      <x:c r="B78" s="20"/>
      <x:c r="C78" s="20"/>
      <x:c r="D78" s="20"/>
      <x:c r="E78" s="20"/>
      <x:c r="F78" s="20"/>
      <x:c r="G78" s="20"/>
      <x:c r="H78" s="20"/>
      <x:c r="I78" s="20"/>
      <x:c r="J78" s="20"/>
      <x:c r="K78" s="20"/>
      <x:c r="L78" s="20"/>
      <x:c r="M78" s="20"/>
      <x:c r="N78" s="20"/>
      <x:c r="O78" s="20"/>
      <x:c r="P78" s="20"/>
      <x:c r="Q78" s="20"/>
      <x:c r="R78" s="20"/>
      <x:c r="S78" s="20"/>
      <x:c r="T78" s="20"/>
      <x:c r="U78" s="20"/>
      <x:c r="V78" s="20"/>
      <x:c r="W78" s="20"/>
      <x:c r="X78" s="20"/>
      <x:c r="Y78" s="20"/>
      <x:c r="Z78" s="20"/>
    </x:row>
    <x:row r="79">
      <x:c r="A79" s="20"/>
      <x:c r="B79" s="20"/>
      <x:c r="C79" s="20"/>
      <x:c r="D79" s="20"/>
      <x:c r="E79" s="20"/>
      <x:c r="F79" s="20"/>
      <x:c r="G79" s="20"/>
      <x:c r="H79" s="20"/>
      <x:c r="I79" s="20"/>
      <x:c r="J79" s="20"/>
      <x:c r="K79" s="20"/>
      <x:c r="L79" s="20"/>
      <x:c r="M79" s="20"/>
      <x:c r="N79" s="20"/>
      <x:c r="O79" s="20"/>
      <x:c r="P79" s="20"/>
      <x:c r="Q79" s="20"/>
      <x:c r="R79" s="20"/>
      <x:c r="S79" s="20"/>
      <x:c r="T79" s="20"/>
      <x:c r="U79" s="20"/>
      <x:c r="V79" s="20"/>
      <x:c r="W79" s="20"/>
      <x:c r="X79" s="20"/>
      <x:c r="Y79" s="20"/>
      <x:c r="Z79" s="20"/>
    </x:row>
    <x:row r="80">
      <x:c r="A80" s="20"/>
      <x:c r="B80" s="20"/>
      <x:c r="C80" s="20"/>
      <x:c r="D80" s="20"/>
      <x:c r="E80" s="20"/>
      <x:c r="F80" s="20"/>
      <x:c r="G80" s="20"/>
      <x:c r="H80" s="20"/>
      <x:c r="I80" s="20"/>
      <x:c r="J80" s="20"/>
      <x:c r="K80" s="20"/>
      <x:c r="L80" s="20"/>
      <x:c r="M80" s="20"/>
      <x:c r="N80" s="20"/>
      <x:c r="O80" s="20"/>
      <x:c r="P80" s="20"/>
      <x:c r="Q80" s="20"/>
      <x:c r="R80" s="20"/>
      <x:c r="S80" s="20"/>
      <x:c r="T80" s="20"/>
      <x:c r="U80" s="20"/>
      <x:c r="V80" s="20"/>
      <x:c r="W80" s="20"/>
      <x:c r="X80" s="20"/>
      <x:c r="Y80" s="20"/>
      <x:c r="Z80" s="20"/>
    </x:row>
    <x:row r="81">
      <x:c r="A81" s="20"/>
      <x:c r="B81" s="20"/>
      <x:c r="C81" s="20"/>
      <x:c r="D81" s="20"/>
      <x:c r="E81" s="20"/>
      <x:c r="F81" s="20"/>
      <x:c r="G81" s="20"/>
      <x:c r="H81" s="20"/>
      <x:c r="I81" s="20"/>
      <x:c r="J81" s="20"/>
      <x:c r="K81" s="20"/>
      <x:c r="L81" s="20"/>
      <x:c r="M81" s="20"/>
      <x:c r="N81" s="20"/>
      <x:c r="O81" s="20"/>
      <x:c r="P81" s="20"/>
      <x:c r="Q81" s="20"/>
      <x:c r="R81" s="20"/>
      <x:c r="S81" s="20"/>
      <x:c r="T81" s="20"/>
      <x:c r="U81" s="20"/>
      <x:c r="V81" s="20"/>
      <x:c r="W81" s="20"/>
      <x:c r="X81" s="20"/>
      <x:c r="Y81" s="20"/>
      <x:c r="Z81" s="20"/>
    </x:row>
    <x:row r="82">
      <x:c r="A82" s="20"/>
      <x:c r="B82" s="20"/>
      <x:c r="C82" s="20"/>
      <x:c r="D82" s="20"/>
      <x:c r="E82" s="20"/>
      <x:c r="F82" s="20"/>
      <x:c r="G82" s="20"/>
      <x:c r="H82" s="20"/>
      <x:c r="I82" s="20"/>
      <x:c r="J82" s="20"/>
      <x:c r="K82" s="20"/>
      <x:c r="L82" s="20"/>
      <x:c r="M82" s="20"/>
      <x:c r="N82" s="20"/>
      <x:c r="O82" s="20"/>
      <x:c r="P82" s="20"/>
      <x:c r="Q82" s="20"/>
      <x:c r="R82" s="20"/>
      <x:c r="S82" s="20"/>
      <x:c r="T82" s="20"/>
      <x:c r="U82" s="20"/>
      <x:c r="V82" s="20"/>
      <x:c r="W82" s="20"/>
      <x:c r="X82" s="20"/>
      <x:c r="Y82" s="20"/>
      <x:c r="Z82" s="20"/>
    </x:row>
    <x:row r="83">
      <x:c r="A83" s="20"/>
      <x:c r="B83" s="20"/>
      <x:c r="C83" s="20"/>
      <x:c r="D83" s="20"/>
      <x:c r="E83" s="20"/>
      <x:c r="F83" s="20"/>
      <x:c r="G83" s="20"/>
      <x:c r="H83" s="20"/>
      <x:c r="I83" s="20"/>
      <x:c r="J83" s="20"/>
      <x:c r="K83" s="20"/>
      <x:c r="L83" s="20"/>
      <x:c r="M83" s="20"/>
      <x:c r="N83" s="20"/>
      <x:c r="O83" s="20"/>
      <x:c r="P83" s="20"/>
      <x:c r="Q83" s="20"/>
      <x:c r="R83" s="20"/>
      <x:c r="S83" s="20"/>
      <x:c r="T83" s="20"/>
      <x:c r="U83" s="20"/>
      <x:c r="V83" s="20"/>
      <x:c r="W83" s="20"/>
      <x:c r="X83" s="20"/>
      <x:c r="Y83" s="20"/>
      <x:c r="Z83" s="20"/>
    </x:row>
    <x:row r="84">
      <x:c r="A84" s="20"/>
      <x:c r="B84" s="20"/>
      <x:c r="C84" s="20"/>
      <x:c r="D84" s="20"/>
      <x:c r="E84" s="20"/>
      <x:c r="F84" s="20"/>
      <x:c r="G84" s="20"/>
      <x:c r="H84" s="20"/>
      <x:c r="I84" s="20"/>
      <x:c r="J84" s="20"/>
      <x:c r="K84" s="20"/>
      <x:c r="L84" s="20"/>
      <x:c r="M84" s="20"/>
      <x:c r="N84" s="20"/>
      <x:c r="O84" s="20"/>
      <x:c r="P84" s="20"/>
      <x:c r="Q84" s="20"/>
      <x:c r="R84" s="20"/>
      <x:c r="S84" s="20"/>
      <x:c r="T84" s="20"/>
      <x:c r="U84" s="20"/>
      <x:c r="V84" s="20"/>
      <x:c r="W84" s="20"/>
      <x:c r="X84" s="20"/>
      <x:c r="Y84" s="20"/>
      <x:c r="Z84" s="20"/>
    </x:row>
    <x:row r="85">
      <x:c r="A85" s="20"/>
      <x:c r="B85" s="20"/>
      <x:c r="C85" s="20"/>
      <x:c r="D85" s="20"/>
      <x:c r="E85" s="20"/>
      <x:c r="F85" s="20"/>
      <x:c r="G85" s="20"/>
      <x:c r="H85" s="20"/>
      <x:c r="I85" s="20"/>
      <x:c r="J85" s="20"/>
      <x:c r="K85" s="20"/>
      <x:c r="L85" s="20"/>
      <x:c r="M85" s="20"/>
      <x:c r="N85" s="20"/>
      <x:c r="O85" s="20"/>
      <x:c r="P85" s="20"/>
      <x:c r="Q85" s="20"/>
      <x:c r="R85" s="20"/>
      <x:c r="S85" s="20"/>
      <x:c r="T85" s="20"/>
      <x:c r="U85" s="20"/>
      <x:c r="V85" s="20"/>
      <x:c r="W85" s="20"/>
      <x:c r="X85" s="20"/>
      <x:c r="Y85" s="20"/>
      <x:c r="Z85" s="20"/>
    </x:row>
    <x:row r="86">
      <x:c r="A86" s="20"/>
      <x:c r="B86" s="20"/>
      <x:c r="C86" s="20"/>
      <x:c r="D86" s="20"/>
      <x:c r="E86" s="20"/>
      <x:c r="F86" s="20"/>
      <x:c r="G86" s="20"/>
      <x:c r="H86" s="20"/>
      <x:c r="I86" s="20"/>
      <x:c r="J86" s="20"/>
      <x:c r="K86" s="20"/>
      <x:c r="L86" s="20"/>
      <x:c r="M86" s="20"/>
      <x:c r="N86" s="20"/>
      <x:c r="O86" s="20"/>
      <x:c r="P86" s="20"/>
      <x:c r="Q86" s="20"/>
      <x:c r="R86" s="20"/>
      <x:c r="S86" s="20"/>
      <x:c r="T86" s="20"/>
      <x:c r="U86" s="20"/>
      <x:c r="V86" s="20"/>
      <x:c r="W86" s="20"/>
      <x:c r="X86" s="20"/>
      <x:c r="Y86" s="20"/>
      <x:c r="Z86" s="20"/>
    </x:row>
    <x:row r="87">
      <x:c r="A87" s="20"/>
      <x:c r="B87" s="20"/>
      <x:c r="C87" s="20"/>
      <x:c r="D87" s="20"/>
      <x:c r="E87" s="20"/>
      <x:c r="F87" s="20"/>
      <x:c r="G87" s="20"/>
      <x:c r="H87" s="20"/>
      <x:c r="I87" s="20"/>
      <x:c r="J87" s="20"/>
      <x:c r="K87" s="20"/>
      <x:c r="L87" s="20"/>
      <x:c r="M87" s="20"/>
      <x:c r="N87" s="20"/>
      <x:c r="O87" s="20"/>
      <x:c r="P87" s="20"/>
      <x:c r="Q87" s="20"/>
      <x:c r="R87" s="20"/>
      <x:c r="S87" s="20"/>
      <x:c r="T87" s="20"/>
      <x:c r="U87" s="20"/>
      <x:c r="V87" s="20"/>
      <x:c r="W87" s="20"/>
      <x:c r="X87" s="20"/>
      <x:c r="Y87" s="20"/>
      <x:c r="Z87" s="20"/>
    </x:row>
    <x:row r="88">
      <x:c r="A88" s="20"/>
      <x:c r="B88" s="20"/>
      <x:c r="C88" s="20"/>
      <x:c r="D88" s="20"/>
      <x:c r="E88" s="20"/>
      <x:c r="F88" s="20"/>
      <x:c r="G88" s="20"/>
      <x:c r="H88" s="20"/>
      <x:c r="I88" s="20"/>
      <x:c r="J88" s="20"/>
      <x:c r="K88" s="20"/>
      <x:c r="L88" s="20"/>
      <x:c r="M88" s="20"/>
      <x:c r="N88" s="20"/>
      <x:c r="O88" s="20"/>
      <x:c r="P88" s="20"/>
      <x:c r="Q88" s="20"/>
      <x:c r="R88" s="20"/>
      <x:c r="S88" s="20"/>
      <x:c r="T88" s="20"/>
      <x:c r="U88" s="20"/>
      <x:c r="V88" s="20"/>
      <x:c r="W88" s="20"/>
      <x:c r="X88" s="20"/>
      <x:c r="Y88" s="20"/>
      <x:c r="Z88" s="20"/>
    </x:row>
    <x:row r="89">
      <x:c r="A89" s="20"/>
      <x:c r="B89" s="20"/>
      <x:c r="C89" s="20"/>
      <x:c r="D89" s="20"/>
      <x:c r="E89" s="20"/>
      <x:c r="F89" s="20"/>
      <x:c r="G89" s="20"/>
      <x:c r="H89" s="20"/>
      <x:c r="I89" s="20"/>
      <x:c r="J89" s="20"/>
      <x:c r="K89" s="20"/>
      <x:c r="L89" s="20"/>
      <x:c r="M89" s="20"/>
      <x:c r="N89" s="20"/>
      <x:c r="O89" s="20"/>
      <x:c r="P89" s="20"/>
      <x:c r="Q89" s="20"/>
      <x:c r="R89" s="20"/>
      <x:c r="S89" s="20"/>
      <x:c r="T89" s="20"/>
      <x:c r="U89" s="20"/>
      <x:c r="V89" s="20"/>
      <x:c r="W89" s="20"/>
      <x:c r="X89" s="20"/>
      <x:c r="Y89" s="20"/>
      <x:c r="Z89" s="20"/>
    </x:row>
    <x:row r="90">
      <x:c r="A90" s="20"/>
      <x:c r="B90" s="20"/>
      <x:c r="C90" s="20"/>
      <x:c r="D90" s="20"/>
      <x:c r="E90" s="20"/>
      <x:c r="F90" s="20"/>
      <x:c r="G90" s="20"/>
      <x:c r="H90" s="20"/>
      <x:c r="I90" s="20"/>
      <x:c r="J90" s="20"/>
      <x:c r="K90" s="20"/>
      <x:c r="L90" s="20"/>
      <x:c r="M90" s="20"/>
      <x:c r="N90" s="20"/>
      <x:c r="O90" s="20"/>
      <x:c r="P90" s="20"/>
      <x:c r="Q90" s="20"/>
      <x:c r="R90" s="20"/>
      <x:c r="S90" s="20"/>
      <x:c r="T90" s="20"/>
      <x:c r="U90" s="20"/>
      <x:c r="V90" s="20"/>
      <x:c r="W90" s="20"/>
      <x:c r="X90" s="20"/>
      <x:c r="Y90" s="20"/>
      <x:c r="Z90" s="20"/>
    </x:row>
    <x:row r="91">
      <x:c r="A91" s="20"/>
      <x:c r="B91" s="20"/>
      <x:c r="C91" s="20"/>
      <x:c r="D91" s="20"/>
      <x:c r="E91" s="20"/>
      <x:c r="F91" s="20"/>
      <x:c r="G91" s="20"/>
      <x:c r="H91" s="20"/>
      <x:c r="I91" s="20"/>
      <x:c r="J91" s="20"/>
      <x:c r="K91" s="20"/>
      <x:c r="L91" s="20"/>
      <x:c r="M91" s="20"/>
      <x:c r="N91" s="20"/>
      <x:c r="O91" s="20"/>
      <x:c r="P91" s="20"/>
      <x:c r="Q91" s="20"/>
      <x:c r="R91" s="20"/>
      <x:c r="S91" s="20"/>
      <x:c r="T91" s="20"/>
      <x:c r="U91" s="20"/>
      <x:c r="V91" s="20"/>
      <x:c r="W91" s="20"/>
      <x:c r="X91" s="20"/>
      <x:c r="Y91" s="20"/>
      <x:c r="Z91" s="20"/>
    </x:row>
    <x:row r="92">
      <x:c r="A92" s="20"/>
      <x:c r="B92" s="20"/>
      <x:c r="C92" s="20"/>
      <x:c r="D92" s="20"/>
      <x:c r="E92" s="20"/>
      <x:c r="F92" s="20"/>
      <x:c r="G92" s="20"/>
      <x:c r="H92" s="20"/>
      <x:c r="I92" s="20"/>
      <x:c r="J92" s="20"/>
      <x:c r="K92" s="20"/>
      <x:c r="L92" s="20"/>
      <x:c r="M92" s="20"/>
      <x:c r="N92" s="20"/>
      <x:c r="O92" s="20"/>
      <x:c r="P92" s="20"/>
      <x:c r="Q92" s="20"/>
      <x:c r="R92" s="20"/>
      <x:c r="S92" s="20"/>
      <x:c r="T92" s="20"/>
      <x:c r="U92" s="20"/>
      <x:c r="V92" s="20"/>
      <x:c r="W92" s="20"/>
      <x:c r="X92" s="20"/>
      <x:c r="Y92" s="20"/>
      <x:c r="Z92" s="20"/>
    </x:row>
    <x:row r="93">
      <x:c r="A93" s="20"/>
      <x:c r="B93" s="20"/>
      <x:c r="C93" s="20"/>
      <x:c r="D93" s="20"/>
      <x:c r="E93" s="20"/>
      <x:c r="F93" s="20"/>
      <x:c r="G93" s="20"/>
      <x:c r="H93" s="20"/>
      <x:c r="I93" s="20"/>
      <x:c r="J93" s="20"/>
      <x:c r="K93" s="20"/>
      <x:c r="L93" s="20"/>
      <x:c r="M93" s="20"/>
      <x:c r="N93" s="20"/>
      <x:c r="O93" s="20"/>
      <x:c r="P93" s="20"/>
      <x:c r="Q93" s="20"/>
      <x:c r="R93" s="20"/>
      <x:c r="S93" s="20"/>
      <x:c r="T93" s="20"/>
      <x:c r="U93" s="20"/>
      <x:c r="V93" s="20"/>
      <x:c r="W93" s="20"/>
      <x:c r="X93" s="20"/>
      <x:c r="Y93" s="20"/>
      <x:c r="Z93" s="20"/>
    </x:row>
    <x:row r="94">
      <x:c r="A94" s="20"/>
      <x:c r="B94" s="20"/>
      <x:c r="C94" s="20"/>
      <x:c r="D94" s="20"/>
      <x:c r="E94" s="20"/>
      <x:c r="F94" s="20"/>
      <x:c r="G94" s="20"/>
      <x:c r="H94" s="20"/>
      <x:c r="I94" s="20"/>
      <x:c r="J94" s="20"/>
      <x:c r="K94" s="20"/>
      <x:c r="L94" s="20"/>
      <x:c r="M94" s="20"/>
      <x:c r="N94" s="20"/>
      <x:c r="O94" s="20"/>
      <x:c r="P94" s="20"/>
      <x:c r="Q94" s="20"/>
      <x:c r="R94" s="20"/>
      <x:c r="S94" s="20"/>
      <x:c r="T94" s="20"/>
      <x:c r="U94" s="20"/>
      <x:c r="V94" s="20"/>
      <x:c r="W94" s="20"/>
      <x:c r="X94" s="20"/>
      <x:c r="Y94" s="20"/>
      <x:c r="Z94" s="20"/>
    </x:row>
    <x:row r="95">
      <x:c r="A95" s="20"/>
      <x:c r="B95" s="20"/>
      <x:c r="C95" s="20"/>
      <x:c r="D95" s="20"/>
      <x:c r="E95" s="20"/>
      <x:c r="F95" s="20"/>
      <x:c r="G95" s="20"/>
      <x:c r="H95" s="20"/>
      <x:c r="I95" s="20"/>
      <x:c r="J95" s="20"/>
      <x:c r="K95" s="20"/>
      <x:c r="L95" s="20"/>
      <x:c r="M95" s="20"/>
      <x:c r="N95" s="20"/>
      <x:c r="O95" s="20"/>
      <x:c r="P95" s="20"/>
      <x:c r="Q95" s="20"/>
      <x:c r="R95" s="20"/>
      <x:c r="S95" s="20"/>
      <x:c r="T95" s="20"/>
      <x:c r="U95" s="20"/>
      <x:c r="V95" s="20"/>
      <x:c r="W95" s="20"/>
      <x:c r="X95" s="20"/>
      <x:c r="Y95" s="20"/>
      <x:c r="Z95" s="20"/>
    </x:row>
    <x:row r="96">
      <x:c r="A96" s="20"/>
      <x:c r="B96" s="20"/>
      <x:c r="C96" s="20"/>
      <x:c r="D96" s="20"/>
      <x:c r="E96" s="20"/>
      <x:c r="F96" s="20"/>
      <x:c r="G96" s="20"/>
      <x:c r="H96" s="20"/>
      <x:c r="I96" s="20"/>
      <x:c r="J96" s="20"/>
      <x:c r="K96" s="20"/>
      <x:c r="L96" s="20"/>
      <x:c r="M96" s="20"/>
      <x:c r="N96" s="20"/>
      <x:c r="O96" s="20"/>
      <x:c r="P96" s="20"/>
      <x:c r="Q96" s="20"/>
      <x:c r="R96" s="20"/>
      <x:c r="S96" s="20"/>
      <x:c r="T96" s="20"/>
      <x:c r="U96" s="20"/>
      <x:c r="V96" s="20"/>
      <x:c r="W96" s="20"/>
      <x:c r="X96" s="20"/>
      <x:c r="Y96" s="20"/>
      <x:c r="Z96" s="20"/>
    </x:row>
    <x:row r="97">
      <x:c r="A97" s="20"/>
      <x:c r="B97" s="20"/>
      <x:c r="C97" s="20"/>
      <x:c r="D97" s="20"/>
      <x:c r="E97" s="20"/>
      <x:c r="F97" s="20"/>
      <x:c r="G97" s="20"/>
      <x:c r="H97" s="20"/>
      <x:c r="I97" s="20"/>
      <x:c r="J97" s="20"/>
      <x:c r="K97" s="20"/>
      <x:c r="L97" s="20"/>
      <x:c r="M97" s="20"/>
      <x:c r="N97" s="20"/>
      <x:c r="O97" s="20"/>
      <x:c r="P97" s="20"/>
      <x:c r="Q97" s="20"/>
      <x:c r="R97" s="20"/>
      <x:c r="S97" s="20"/>
      <x:c r="T97" s="20"/>
      <x:c r="U97" s="20"/>
      <x:c r="V97" s="20"/>
      <x:c r="W97" s="20"/>
      <x:c r="X97" s="20"/>
      <x:c r="Y97" s="20"/>
      <x:c r="Z97" s="20"/>
    </x:row>
    <x:row r="98">
      <x:c r="A98" s="20"/>
      <x:c r="B98" s="20"/>
      <x:c r="C98" s="20"/>
      <x:c r="D98" s="20"/>
      <x:c r="E98" s="20"/>
      <x:c r="F98" s="20"/>
      <x:c r="G98" s="20"/>
      <x:c r="H98" s="20"/>
      <x:c r="I98" s="20"/>
      <x:c r="J98" s="20"/>
      <x:c r="K98" s="20"/>
      <x:c r="L98" s="20"/>
      <x:c r="M98" s="20"/>
      <x:c r="N98" s="20"/>
      <x:c r="O98" s="20"/>
      <x:c r="P98" s="20"/>
      <x:c r="Q98" s="20"/>
      <x:c r="R98" s="20"/>
      <x:c r="S98" s="20"/>
      <x:c r="T98" s="20"/>
      <x:c r="U98" s="20"/>
      <x:c r="V98" s="20"/>
      <x:c r="W98" s="20"/>
      <x:c r="X98" s="20"/>
      <x:c r="Y98" s="20"/>
      <x:c r="Z98" s="20"/>
    </x:row>
    <x:row r="99">
      <x:c r="A99" s="20"/>
      <x:c r="B99" s="20"/>
      <x:c r="C99" s="20"/>
      <x:c r="D99" s="20"/>
      <x:c r="E99" s="20"/>
      <x:c r="F99" s="20"/>
      <x:c r="G99" s="20"/>
      <x:c r="H99" s="20"/>
      <x:c r="I99" s="20"/>
      <x:c r="J99" s="20"/>
      <x:c r="K99" s="20"/>
      <x:c r="L99" s="20"/>
      <x:c r="M99" s="20"/>
      <x:c r="N99" s="20"/>
      <x:c r="O99" s="20"/>
      <x:c r="P99" s="20"/>
      <x:c r="Q99" s="20"/>
      <x:c r="R99" s="20"/>
      <x:c r="S99" s="20"/>
      <x:c r="T99" s="20"/>
      <x:c r="U99" s="20"/>
      <x:c r="V99" s="20"/>
      <x:c r="W99" s="20"/>
      <x:c r="X99" s="20"/>
      <x:c r="Y99" s="20"/>
      <x:c r="Z99" s="20"/>
    </x:row>
    <x:row r="100">
      <x:c r="A100" s="20"/>
      <x:c r="B100" s="20"/>
      <x:c r="C100" s="20"/>
      <x:c r="D100" s="20"/>
      <x:c r="E100" s="20"/>
      <x:c r="F100" s="20"/>
      <x:c r="G100" s="20"/>
      <x:c r="H100" s="20"/>
      <x:c r="I100" s="20"/>
      <x:c r="J100" s="20"/>
      <x:c r="K100" s="20"/>
      <x:c r="L100" s="20"/>
      <x:c r="M100" s="20"/>
      <x:c r="N100" s="20"/>
      <x:c r="O100" s="20"/>
      <x:c r="P100" s="20"/>
      <x:c r="Q100" s="20"/>
      <x:c r="R100" s="20"/>
      <x:c r="S100" s="20"/>
      <x:c r="T100" s="20"/>
      <x:c r="U100" s="20"/>
      <x:c r="V100" s="20"/>
      <x:c r="W100" s="20"/>
      <x:c r="X100" s="20"/>
      <x:c r="Y100" s="20"/>
      <x:c r="Z100" s="20"/>
    </x:row>
    <x:row r="101">
      <x:c r="A101" s="20"/>
      <x:c r="B101" s="20"/>
      <x:c r="C101" s="20"/>
      <x:c r="D101" s="20"/>
      <x:c r="E101" s="20"/>
      <x:c r="F101" s="20"/>
      <x:c r="G101" s="20"/>
      <x:c r="H101" s="20"/>
      <x:c r="I101" s="20"/>
      <x:c r="J101" s="20"/>
      <x:c r="K101" s="20"/>
      <x:c r="L101" s="20"/>
      <x:c r="M101" s="20"/>
      <x:c r="N101" s="20"/>
      <x:c r="O101" s="20"/>
      <x:c r="P101" s="20"/>
      <x:c r="Q101" s="20"/>
      <x:c r="R101" s="20"/>
      <x:c r="S101" s="20"/>
      <x:c r="T101" s="20"/>
      <x:c r="U101" s="20"/>
      <x:c r="V101" s="20"/>
      <x:c r="W101" s="20"/>
      <x:c r="X101" s="20"/>
      <x:c r="Y101" s="20"/>
      <x:c r="Z101" s="20"/>
    </x:row>
    <x:row r="102">
      <x:c r="A102" s="20"/>
      <x:c r="B102" s="20"/>
      <x:c r="C102" s="20"/>
      <x:c r="D102" s="20"/>
      <x:c r="E102" s="20"/>
      <x:c r="F102" s="20"/>
      <x:c r="G102" s="20"/>
      <x:c r="H102" s="20"/>
      <x:c r="I102" s="20"/>
      <x:c r="J102" s="20"/>
      <x:c r="K102" s="20"/>
      <x:c r="L102" s="20"/>
      <x:c r="M102" s="20"/>
      <x:c r="N102" s="20"/>
      <x:c r="O102" s="20"/>
      <x:c r="P102" s="20"/>
      <x:c r="Q102" s="20"/>
      <x:c r="R102" s="20"/>
      <x:c r="S102" s="20"/>
      <x:c r="T102" s="20"/>
      <x:c r="U102" s="20"/>
      <x:c r="V102" s="20"/>
      <x:c r="W102" s="20"/>
      <x:c r="X102" s="20"/>
      <x:c r="Y102" s="20"/>
      <x:c r="Z102" s="20"/>
    </x:row>
    <x:row r="103">
      <x:c r="A103" s="20"/>
      <x:c r="B103" s="20"/>
      <x:c r="C103" s="20"/>
      <x:c r="D103" s="20"/>
      <x:c r="E103" s="20"/>
      <x:c r="F103" s="20"/>
      <x:c r="G103" s="20"/>
      <x:c r="H103" s="20"/>
      <x:c r="I103" s="20"/>
      <x:c r="J103" s="20"/>
      <x:c r="K103" s="20"/>
      <x:c r="L103" s="20"/>
      <x:c r="M103" s="20"/>
      <x:c r="N103" s="20"/>
      <x:c r="O103" s="20"/>
      <x:c r="P103" s="20"/>
      <x:c r="Q103" s="20"/>
      <x:c r="R103" s="20"/>
      <x:c r="S103" s="20"/>
      <x:c r="T103" s="20"/>
      <x:c r="U103" s="20"/>
      <x:c r="V103" s="20"/>
      <x:c r="W103" s="20"/>
      <x:c r="X103" s="20"/>
      <x:c r="Y103" s="20"/>
      <x:c r="Z103" s="20"/>
    </x:row>
    <x:row r="104">
      <x:c r="A104" s="20"/>
      <x:c r="B104" s="20"/>
      <x:c r="C104" s="20"/>
      <x:c r="D104" s="20"/>
      <x:c r="E104" s="20"/>
      <x:c r="F104" s="20"/>
      <x:c r="G104" s="20"/>
      <x:c r="H104" s="20"/>
      <x:c r="I104" s="20"/>
      <x:c r="J104" s="20"/>
      <x:c r="K104" s="20"/>
      <x:c r="L104" s="20"/>
      <x:c r="M104" s="20"/>
      <x:c r="N104" s="20"/>
      <x:c r="O104" s="20"/>
      <x:c r="P104" s="20"/>
      <x:c r="Q104" s="20"/>
      <x:c r="R104" s="20"/>
      <x:c r="S104" s="20"/>
      <x:c r="T104" s="20"/>
      <x:c r="U104" s="20"/>
      <x:c r="V104" s="20"/>
      <x:c r="W104" s="20"/>
      <x:c r="X104" s="20"/>
      <x:c r="Y104" s="20"/>
      <x:c r="Z104" s="20"/>
    </x:row>
    <x:row r="105">
      <x:c r="A105" s="20"/>
      <x:c r="B105" s="20"/>
      <x:c r="C105" s="20"/>
      <x:c r="D105" s="20"/>
      <x:c r="E105" s="20"/>
      <x:c r="F105" s="20"/>
      <x:c r="G105" s="20"/>
      <x:c r="H105" s="20"/>
      <x:c r="I105" s="20"/>
      <x:c r="J105" s="20"/>
      <x:c r="K105" s="20"/>
      <x:c r="L105" s="20"/>
      <x:c r="M105" s="20"/>
      <x:c r="N105" s="20"/>
      <x:c r="O105" s="20"/>
      <x:c r="P105" s="20"/>
      <x:c r="Q105" s="20"/>
      <x:c r="R105" s="20"/>
      <x:c r="S105" s="20"/>
      <x:c r="T105" s="20"/>
      <x:c r="U105" s="20"/>
      <x:c r="V105" s="20"/>
      <x:c r="W105" s="20"/>
      <x:c r="X105" s="20"/>
      <x:c r="Y105" s="20"/>
      <x:c r="Z105" s="20"/>
    </x:row>
    <x:row r="106">
      <x:c r="A106" s="20"/>
      <x:c r="B106" s="20"/>
      <x:c r="C106" s="20"/>
      <x:c r="D106" s="20"/>
      <x:c r="E106" s="20"/>
      <x:c r="F106" s="20"/>
      <x:c r="G106" s="20"/>
      <x:c r="H106" s="20"/>
      <x:c r="I106" s="20"/>
      <x:c r="J106" s="20"/>
      <x:c r="K106" s="20"/>
      <x:c r="L106" s="20"/>
      <x:c r="M106" s="20"/>
      <x:c r="N106" s="20"/>
      <x:c r="O106" s="20"/>
      <x:c r="P106" s="20"/>
      <x:c r="Q106" s="20"/>
      <x:c r="R106" s="20"/>
      <x:c r="S106" s="20"/>
      <x:c r="T106" s="20"/>
      <x:c r="U106" s="20"/>
      <x:c r="V106" s="20"/>
      <x:c r="W106" s="20"/>
      <x:c r="X106" s="20"/>
      <x:c r="Y106" s="20"/>
      <x:c r="Z106" s="20"/>
    </x:row>
    <x:row r="107">
      <x:c r="A107" s="20"/>
      <x:c r="B107" s="20"/>
      <x:c r="C107" s="20"/>
      <x:c r="D107" s="20"/>
      <x:c r="E107" s="20"/>
      <x:c r="F107" s="20"/>
      <x:c r="G107" s="20"/>
      <x:c r="H107" s="20"/>
      <x:c r="I107" s="20"/>
      <x:c r="J107" s="20"/>
      <x:c r="K107" s="20"/>
      <x:c r="L107" s="20"/>
      <x:c r="M107" s="20"/>
      <x:c r="N107" s="20"/>
      <x:c r="O107" s="20"/>
      <x:c r="P107" s="20"/>
      <x:c r="Q107" s="20"/>
      <x:c r="R107" s="20"/>
      <x:c r="S107" s="20"/>
      <x:c r="T107" s="20"/>
      <x:c r="U107" s="20"/>
      <x:c r="V107" s="20"/>
      <x:c r="W107" s="20"/>
      <x:c r="X107" s="20"/>
      <x:c r="Y107" s="20"/>
      <x:c r="Z107" s="20"/>
    </x:row>
    <x:row r="108">
      <x:c r="A108" s="20"/>
      <x:c r="B108" s="20"/>
      <x:c r="C108" s="20"/>
      <x:c r="D108" s="20"/>
      <x:c r="E108" s="20"/>
      <x:c r="F108" s="20"/>
      <x:c r="G108" s="20"/>
      <x:c r="H108" s="20"/>
      <x:c r="I108" s="20"/>
      <x:c r="J108" s="20"/>
      <x:c r="K108" s="20"/>
      <x:c r="L108" s="20"/>
      <x:c r="M108" s="20"/>
      <x:c r="N108" s="20"/>
      <x:c r="O108" s="20"/>
      <x:c r="P108" s="20"/>
      <x:c r="Q108" s="20"/>
      <x:c r="R108" s="20"/>
      <x:c r="S108" s="20"/>
      <x:c r="T108" s="20"/>
      <x:c r="U108" s="20"/>
      <x:c r="V108" s="20"/>
      <x:c r="W108" s="20"/>
      <x:c r="X108" s="20"/>
      <x:c r="Y108" s="20"/>
      <x:c r="Z108" s="20"/>
    </x:row>
    <x:row r="109">
      <x:c r="A109" s="20"/>
      <x:c r="B109" s="20"/>
      <x:c r="C109" s="20"/>
      <x:c r="D109" s="20"/>
      <x:c r="E109" s="20"/>
      <x:c r="F109" s="20"/>
      <x:c r="G109" s="20"/>
      <x:c r="H109" s="20"/>
      <x:c r="I109" s="20"/>
      <x:c r="J109" s="20"/>
      <x:c r="K109" s="20"/>
      <x:c r="L109" s="20"/>
      <x:c r="M109" s="20"/>
      <x:c r="N109" s="20"/>
      <x:c r="O109" s="20"/>
      <x:c r="P109" s="20"/>
      <x:c r="Q109" s="20"/>
      <x:c r="R109" s="20"/>
      <x:c r="S109" s="20"/>
      <x:c r="T109" s="20"/>
      <x:c r="U109" s="20"/>
      <x:c r="V109" s="20"/>
      <x:c r="W109" s="20"/>
      <x:c r="X109" s="20"/>
      <x:c r="Y109" s="20"/>
      <x:c r="Z109" s="20"/>
    </x:row>
    <x:row r="110">
      <x:c r="A110" s="20"/>
      <x:c r="B110" s="20"/>
      <x:c r="C110" s="20"/>
      <x:c r="D110" s="20"/>
      <x:c r="E110" s="20"/>
      <x:c r="F110" s="20"/>
      <x:c r="G110" s="20"/>
      <x:c r="H110" s="20"/>
      <x:c r="I110" s="20"/>
      <x:c r="J110" s="20"/>
      <x:c r="K110" s="20"/>
      <x:c r="L110" s="20"/>
      <x:c r="M110" s="20"/>
      <x:c r="N110" s="20"/>
      <x:c r="O110" s="20"/>
      <x:c r="P110" s="20"/>
      <x:c r="Q110" s="20"/>
      <x:c r="R110" s="20"/>
      <x:c r="S110" s="20"/>
      <x:c r="T110" s="20"/>
      <x:c r="U110" s="20"/>
      <x:c r="V110" s="20"/>
      <x:c r="W110" s="20"/>
      <x:c r="X110" s="20"/>
      <x:c r="Y110" s="20"/>
      <x:c r="Z110" s="20"/>
    </x:row>
    <x:row r="111">
      <x:c r="A111" s="20"/>
      <x:c r="B111" s="20"/>
      <x:c r="C111" s="20"/>
      <x:c r="D111" s="20"/>
      <x:c r="E111" s="20"/>
      <x:c r="F111" s="20"/>
      <x:c r="G111" s="20"/>
      <x:c r="H111" s="20"/>
      <x:c r="I111" s="20"/>
      <x:c r="J111" s="20"/>
      <x:c r="K111" s="20"/>
      <x:c r="L111" s="20"/>
      <x:c r="M111" s="20"/>
      <x:c r="N111" s="20"/>
      <x:c r="O111" s="20"/>
      <x:c r="P111" s="20"/>
      <x:c r="Q111" s="20"/>
      <x:c r="R111" s="20"/>
      <x:c r="S111" s="20"/>
      <x:c r="T111" s="20"/>
      <x:c r="U111" s="20"/>
      <x:c r="V111" s="20"/>
      <x:c r="W111" s="20"/>
      <x:c r="X111" s="20"/>
      <x:c r="Y111" s="20"/>
      <x:c r="Z111" s="20"/>
    </x:row>
    <x:row r="112">
      <x:c r="A112" s="20"/>
      <x:c r="B112" s="20"/>
      <x:c r="C112" s="20"/>
      <x:c r="D112" s="20"/>
      <x:c r="E112" s="20"/>
      <x:c r="F112" s="20"/>
      <x:c r="G112" s="20"/>
      <x:c r="H112" s="20"/>
      <x:c r="I112" s="20"/>
      <x:c r="J112" s="20"/>
      <x:c r="K112" s="20"/>
      <x:c r="L112" s="20"/>
      <x:c r="M112" s="20"/>
      <x:c r="N112" s="20"/>
      <x:c r="O112" s="20"/>
      <x:c r="P112" s="20"/>
      <x:c r="Q112" s="20"/>
      <x:c r="R112" s="20"/>
      <x:c r="S112" s="20"/>
      <x:c r="T112" s="20"/>
      <x:c r="U112" s="20"/>
      <x:c r="V112" s="20"/>
      <x:c r="W112" s="20"/>
      <x:c r="X112" s="20"/>
      <x:c r="Y112" s="20"/>
      <x:c r="Z112" s="20"/>
    </x:row>
    <x:row r="113">
      <x:c r="A113" s="20"/>
      <x:c r="B113" s="20"/>
      <x:c r="C113" s="20"/>
      <x:c r="D113" s="20"/>
      <x:c r="E113" s="20"/>
      <x:c r="F113" s="20"/>
      <x:c r="G113" s="20"/>
      <x:c r="H113" s="20"/>
      <x:c r="I113" s="20"/>
      <x:c r="J113" s="20"/>
      <x:c r="K113" s="20"/>
      <x:c r="L113" s="20"/>
      <x:c r="M113" s="20"/>
      <x:c r="N113" s="20"/>
      <x:c r="O113" s="20"/>
      <x:c r="P113" s="20"/>
      <x:c r="Q113" s="20"/>
      <x:c r="R113" s="20"/>
      <x:c r="S113" s="20"/>
      <x:c r="T113" s="20"/>
      <x:c r="U113" s="20"/>
      <x:c r="V113" s="20"/>
      <x:c r="W113" s="20"/>
      <x:c r="X113" s="20"/>
      <x:c r="Y113" s="20"/>
      <x:c r="Z113" s="20"/>
    </x:row>
    <x:row r="114">
      <x:c r="A114" s="20"/>
      <x:c r="B114" s="20"/>
      <x:c r="C114" s="20"/>
      <x:c r="D114" s="20"/>
      <x:c r="E114" s="20"/>
      <x:c r="F114" s="20"/>
      <x:c r="G114" s="20"/>
      <x:c r="H114" s="20"/>
      <x:c r="I114" s="20"/>
      <x:c r="J114" s="20"/>
      <x:c r="K114" s="20"/>
      <x:c r="L114" s="20"/>
      <x:c r="M114" s="20"/>
      <x:c r="N114" s="20"/>
      <x:c r="O114" s="20"/>
      <x:c r="P114" s="20"/>
      <x:c r="Q114" s="20"/>
      <x:c r="R114" s="20"/>
      <x:c r="S114" s="20"/>
      <x:c r="T114" s="20"/>
      <x:c r="U114" s="20"/>
      <x:c r="V114" s="20"/>
      <x:c r="W114" s="20"/>
      <x:c r="X114" s="20"/>
      <x:c r="Y114" s="20"/>
      <x:c r="Z114" s="20"/>
    </x:row>
    <x:row r="115">
      <x:c r="A115" s="20"/>
      <x:c r="B115" s="20"/>
      <x:c r="C115" s="20"/>
      <x:c r="D115" s="20"/>
      <x:c r="E115" s="20"/>
      <x:c r="F115" s="20"/>
      <x:c r="G115" s="20"/>
      <x:c r="H115" s="20"/>
      <x:c r="I115" s="20"/>
      <x:c r="J115" s="20"/>
      <x:c r="K115" s="20"/>
      <x:c r="L115" s="20"/>
      <x:c r="M115" s="20"/>
      <x:c r="N115" s="20"/>
      <x:c r="O115" s="20"/>
      <x:c r="P115" s="20"/>
      <x:c r="Q115" s="20"/>
      <x:c r="R115" s="20"/>
      <x:c r="S115" s="20"/>
      <x:c r="T115" s="20"/>
      <x:c r="U115" s="20"/>
      <x:c r="V115" s="20"/>
      <x:c r="W115" s="20"/>
      <x:c r="X115" s="20"/>
      <x:c r="Y115" s="20"/>
      <x:c r="Z115" s="20"/>
    </x:row>
    <x:row r="116">
      <x:c r="A116" s="20"/>
      <x:c r="B116" s="20"/>
      <x:c r="C116" s="20"/>
      <x:c r="D116" s="20"/>
      <x:c r="E116" s="20"/>
      <x:c r="F116" s="20"/>
      <x:c r="G116" s="20"/>
      <x:c r="H116" s="20"/>
      <x:c r="I116" s="20"/>
      <x:c r="J116" s="20"/>
      <x:c r="K116" s="20"/>
      <x:c r="L116" s="20"/>
      <x:c r="M116" s="20"/>
      <x:c r="N116" s="20"/>
      <x:c r="O116" s="20"/>
      <x:c r="P116" s="20"/>
      <x:c r="Q116" s="20"/>
      <x:c r="R116" s="20"/>
      <x:c r="S116" s="20"/>
      <x:c r="T116" s="20"/>
      <x:c r="U116" s="20"/>
      <x:c r="V116" s="20"/>
      <x:c r="W116" s="20"/>
      <x:c r="X116" s="20"/>
      <x:c r="Y116" s="20"/>
      <x:c r="Z116" s="20"/>
    </x:row>
    <x:row r="117">
      <x:c r="A117" s="20"/>
      <x:c r="B117" s="20"/>
      <x:c r="C117" s="20"/>
      <x:c r="D117" s="20"/>
      <x:c r="E117" s="20"/>
      <x:c r="F117" s="20"/>
      <x:c r="G117" s="20"/>
      <x:c r="H117" s="20"/>
      <x:c r="I117" s="20"/>
      <x:c r="J117" s="20"/>
      <x:c r="K117" s="20"/>
      <x:c r="L117" s="20"/>
      <x:c r="M117" s="20"/>
      <x:c r="N117" s="20"/>
      <x:c r="O117" s="20"/>
      <x:c r="P117" s="20"/>
      <x:c r="Q117" s="20"/>
      <x:c r="R117" s="20"/>
      <x:c r="S117" s="20"/>
      <x:c r="T117" s="20"/>
      <x:c r="U117" s="20"/>
      <x:c r="V117" s="20"/>
      <x:c r="W117" s="20"/>
      <x:c r="X117" s="20"/>
      <x:c r="Y117" s="20"/>
      <x:c r="Z117" s="20"/>
    </x:row>
    <x:row r="118">
      <x:c r="A118" s="20"/>
      <x:c r="B118" s="20"/>
      <x:c r="C118" s="20"/>
      <x:c r="D118" s="20"/>
      <x:c r="E118" s="20"/>
      <x:c r="F118" s="20"/>
      <x:c r="G118" s="20"/>
      <x:c r="H118" s="20"/>
      <x:c r="I118" s="20"/>
      <x:c r="J118" s="20"/>
      <x:c r="K118" s="20"/>
      <x:c r="L118" s="20"/>
      <x:c r="M118" s="20"/>
      <x:c r="N118" s="20"/>
      <x:c r="O118" s="20"/>
      <x:c r="P118" s="20"/>
      <x:c r="Q118" s="20"/>
      <x:c r="R118" s="20"/>
      <x:c r="S118" s="20"/>
      <x:c r="T118" s="20"/>
      <x:c r="U118" s="20"/>
      <x:c r="V118" s="20"/>
      <x:c r="W118" s="20"/>
      <x:c r="X118" s="20"/>
      <x:c r="Y118" s="20"/>
      <x:c r="Z118" s="20"/>
    </x:row>
    <x:row r="119">
      <x:c r="A119" s="20"/>
      <x:c r="B119" s="20"/>
      <x:c r="C119" s="20"/>
      <x:c r="D119" s="20"/>
      <x:c r="E119" s="20"/>
      <x:c r="F119" s="20"/>
      <x:c r="G119" s="20"/>
      <x:c r="H119" s="20"/>
      <x:c r="I119" s="20"/>
      <x:c r="J119" s="20"/>
      <x:c r="K119" s="20"/>
      <x:c r="L119" s="20"/>
      <x:c r="M119" s="20"/>
      <x:c r="N119" s="20"/>
      <x:c r="O119" s="20"/>
      <x:c r="P119" s="20"/>
      <x:c r="Q119" s="20"/>
      <x:c r="R119" s="20"/>
      <x:c r="S119" s="20"/>
      <x:c r="T119" s="20"/>
      <x:c r="U119" s="20"/>
      <x:c r="V119" s="20"/>
      <x:c r="W119" s="20"/>
      <x:c r="X119" s="20"/>
      <x:c r="Y119" s="20"/>
      <x:c r="Z119" s="20"/>
    </x:row>
    <x:row r="120">
      <x:c r="A120" s="20"/>
      <x:c r="B120" s="20"/>
      <x:c r="C120" s="20"/>
      <x:c r="D120" s="20"/>
      <x:c r="E120" s="20"/>
      <x:c r="F120" s="20"/>
      <x:c r="G120" s="20"/>
      <x:c r="H120" s="20"/>
      <x:c r="I120" s="20"/>
      <x:c r="J120" s="20"/>
      <x:c r="K120" s="20"/>
      <x:c r="L120" s="20"/>
      <x:c r="M120" s="20"/>
      <x:c r="N120" s="20"/>
      <x:c r="O120" s="20"/>
      <x:c r="P120" s="20"/>
      <x:c r="Q120" s="20"/>
      <x:c r="R120" s="20"/>
      <x:c r="S120" s="20"/>
      <x:c r="T120" s="20"/>
      <x:c r="U120" s="20"/>
      <x:c r="V120" s="20"/>
      <x:c r="W120" s="20"/>
      <x:c r="X120" s="20"/>
      <x:c r="Y120" s="20"/>
      <x:c r="Z120" s="20"/>
    </x:row>
    <x:row r="121">
      <x:c r="A121" s="20"/>
      <x:c r="B121" s="20"/>
      <x:c r="C121" s="20"/>
      <x:c r="D121" s="20"/>
      <x:c r="E121" s="20"/>
      <x:c r="F121" s="20"/>
      <x:c r="G121" s="20"/>
      <x:c r="H121" s="20"/>
      <x:c r="I121" s="20"/>
      <x:c r="J121" s="20"/>
      <x:c r="K121" s="20"/>
      <x:c r="L121" s="20"/>
      <x:c r="M121" s="20"/>
      <x:c r="N121" s="20"/>
      <x:c r="O121" s="20"/>
      <x:c r="P121" s="20"/>
      <x:c r="Q121" s="20"/>
      <x:c r="R121" s="20"/>
      <x:c r="S121" s="20"/>
      <x:c r="T121" s="20"/>
      <x:c r="U121" s="20"/>
      <x:c r="V121" s="20"/>
      <x:c r="W121" s="20"/>
      <x:c r="X121" s="20"/>
      <x:c r="Y121" s="20"/>
      <x:c r="Z121" s="20"/>
    </x:row>
    <x:row r="122">
      <x:c r="A122" s="20"/>
      <x:c r="B122" s="20"/>
      <x:c r="C122" s="20"/>
      <x:c r="D122" s="20"/>
      <x:c r="E122" s="20"/>
      <x:c r="F122" s="20"/>
      <x:c r="G122" s="20"/>
      <x:c r="H122" s="20"/>
      <x:c r="I122" s="20"/>
      <x:c r="J122" s="20"/>
      <x:c r="K122" s="20"/>
      <x:c r="L122" s="20"/>
      <x:c r="M122" s="20"/>
      <x:c r="N122" s="20"/>
      <x:c r="O122" s="20"/>
      <x:c r="P122" s="20"/>
      <x:c r="Q122" s="20"/>
      <x:c r="R122" s="20"/>
      <x:c r="S122" s="20"/>
      <x:c r="T122" s="20"/>
      <x:c r="U122" s="20"/>
      <x:c r="V122" s="20"/>
      <x:c r="W122" s="20"/>
      <x:c r="X122" s="20"/>
      <x:c r="Y122" s="20"/>
      <x:c r="Z122" s="20"/>
    </x:row>
    <x:row r="123">
      <x:c r="A123" s="20"/>
      <x:c r="B123" s="20"/>
      <x:c r="C123" s="20"/>
      <x:c r="D123" s="20"/>
      <x:c r="E123" s="20"/>
      <x:c r="F123" s="20"/>
      <x:c r="G123" s="20"/>
      <x:c r="H123" s="20"/>
      <x:c r="I123" s="20"/>
      <x:c r="J123" s="20"/>
      <x:c r="K123" s="20"/>
      <x:c r="L123" s="20"/>
      <x:c r="M123" s="20"/>
      <x:c r="N123" s="20"/>
      <x:c r="O123" s="20"/>
      <x:c r="P123" s="20"/>
      <x:c r="Q123" s="20"/>
      <x:c r="R123" s="20"/>
      <x:c r="S123" s="20"/>
      <x:c r="T123" s="20"/>
      <x:c r="U123" s="20"/>
      <x:c r="V123" s="20"/>
      <x:c r="W123" s="20"/>
      <x:c r="X123" s="20"/>
      <x:c r="Y123" s="20"/>
      <x:c r="Z123" s="20"/>
    </x:row>
    <x:row r="124">
      <x:c r="A124" s="20"/>
      <x:c r="B124" s="20"/>
      <x:c r="C124" s="20"/>
      <x:c r="D124" s="20"/>
      <x:c r="E124" s="20"/>
      <x:c r="F124" s="20"/>
      <x:c r="G124" s="20"/>
      <x:c r="H124" s="20"/>
      <x:c r="I124" s="20"/>
      <x:c r="J124" s="20"/>
      <x:c r="K124" s="20"/>
      <x:c r="L124" s="20"/>
      <x:c r="M124" s="20"/>
      <x:c r="N124" s="20"/>
      <x:c r="O124" s="20"/>
      <x:c r="P124" s="20"/>
      <x:c r="Q124" s="20"/>
      <x:c r="R124" s="20"/>
      <x:c r="S124" s="20"/>
      <x:c r="T124" s="20"/>
      <x:c r="U124" s="20"/>
      <x:c r="V124" s="20"/>
      <x:c r="W124" s="20"/>
      <x:c r="X124" s="20"/>
      <x:c r="Y124" s="20"/>
      <x:c r="Z124" s="20"/>
    </x:row>
    <x:row r="125">
      <x:c r="A125" s="20"/>
      <x:c r="B125" s="20"/>
      <x:c r="C125" s="20"/>
      <x:c r="D125" s="20"/>
      <x:c r="E125" s="20"/>
      <x:c r="F125" s="20"/>
      <x:c r="G125" s="20"/>
      <x:c r="H125" s="20"/>
      <x:c r="I125" s="20"/>
      <x:c r="J125" s="20"/>
      <x:c r="K125" s="20"/>
      <x:c r="L125" s="20"/>
      <x:c r="M125" s="20"/>
      <x:c r="N125" s="20"/>
      <x:c r="O125" s="20"/>
      <x:c r="P125" s="20"/>
      <x:c r="Q125" s="20"/>
      <x:c r="R125" s="20"/>
      <x:c r="S125" s="20"/>
      <x:c r="T125" s="20"/>
      <x:c r="U125" s="20"/>
      <x:c r="V125" s="20"/>
      <x:c r="W125" s="20"/>
      <x:c r="X125" s="20"/>
      <x:c r="Y125" s="20"/>
      <x:c r="Z125" s="20"/>
    </x:row>
    <x:row r="126">
      <x:c r="A126" s="20"/>
      <x:c r="B126" s="20"/>
      <x:c r="C126" s="20"/>
      <x:c r="D126" s="20"/>
      <x:c r="E126" s="20"/>
      <x:c r="F126" s="20"/>
      <x:c r="G126" s="20"/>
      <x:c r="H126" s="20"/>
      <x:c r="I126" s="20"/>
      <x:c r="J126" s="20"/>
      <x:c r="K126" s="20"/>
      <x:c r="L126" s="20"/>
      <x:c r="M126" s="20"/>
      <x:c r="N126" s="20"/>
      <x:c r="O126" s="20"/>
      <x:c r="P126" s="20"/>
      <x:c r="Q126" s="20"/>
      <x:c r="R126" s="20"/>
      <x:c r="S126" s="20"/>
      <x:c r="T126" s="20"/>
      <x:c r="U126" s="20"/>
      <x:c r="V126" s="20"/>
      <x:c r="W126" s="20"/>
      <x:c r="X126" s="20"/>
      <x:c r="Y126" s="20"/>
      <x:c r="Z126" s="20"/>
    </x:row>
    <x:row r="127">
      <x:c r="A127" s="20"/>
      <x:c r="B127" s="20"/>
      <x:c r="C127" s="20"/>
      <x:c r="D127" s="20"/>
      <x:c r="E127" s="20"/>
      <x:c r="F127" s="20"/>
      <x:c r="G127" s="20"/>
      <x:c r="H127" s="20"/>
      <x:c r="I127" s="20"/>
      <x:c r="J127" s="20"/>
      <x:c r="K127" s="20"/>
      <x:c r="L127" s="20"/>
      <x:c r="M127" s="20"/>
      <x:c r="N127" s="20"/>
      <x:c r="O127" s="20"/>
      <x:c r="P127" s="20"/>
      <x:c r="Q127" s="20"/>
      <x:c r="R127" s="20"/>
      <x:c r="S127" s="20"/>
      <x:c r="T127" s="20"/>
      <x:c r="U127" s="20"/>
      <x:c r="V127" s="20"/>
      <x:c r="W127" s="20"/>
      <x:c r="X127" s="20"/>
      <x:c r="Y127" s="20"/>
      <x:c r="Z127" s="20"/>
    </x:row>
    <x:row r="128">
      <x:c r="A128" s="20"/>
      <x:c r="B128" s="20"/>
      <x:c r="C128" s="20"/>
      <x:c r="D128" s="20"/>
      <x:c r="E128" s="20"/>
      <x:c r="F128" s="20"/>
      <x:c r="G128" s="20"/>
      <x:c r="H128" s="20"/>
      <x:c r="I128" s="20"/>
      <x:c r="J128" s="20"/>
      <x:c r="K128" s="20"/>
      <x:c r="L128" s="20"/>
      <x:c r="M128" s="20"/>
      <x:c r="N128" s="20"/>
      <x:c r="O128" s="20"/>
      <x:c r="P128" s="20"/>
      <x:c r="Q128" s="20"/>
      <x:c r="R128" s="20"/>
      <x:c r="S128" s="20"/>
      <x:c r="T128" s="20"/>
      <x:c r="U128" s="20"/>
      <x:c r="V128" s="20"/>
      <x:c r="W128" s="20"/>
      <x:c r="X128" s="20"/>
      <x:c r="Y128" s="20"/>
      <x:c r="Z128" s="20"/>
    </x:row>
    <x:row r="129">
      <x:c r="A129" s="20"/>
      <x:c r="B129" s="20"/>
      <x:c r="C129" s="20"/>
      <x:c r="D129" s="20"/>
      <x:c r="E129" s="20"/>
      <x:c r="F129" s="20"/>
      <x:c r="G129" s="20"/>
      <x:c r="H129" s="20"/>
      <x:c r="I129" s="20"/>
      <x:c r="J129" s="20"/>
      <x:c r="K129" s="20"/>
      <x:c r="L129" s="20"/>
      <x:c r="M129" s="20"/>
      <x:c r="N129" s="20"/>
      <x:c r="O129" s="20"/>
      <x:c r="P129" s="20"/>
      <x:c r="Q129" s="20"/>
      <x:c r="R129" s="20"/>
      <x:c r="S129" s="20"/>
      <x:c r="T129" s="20"/>
      <x:c r="U129" s="20"/>
      <x:c r="V129" s="20"/>
      <x:c r="W129" s="20"/>
      <x:c r="X129" s="20"/>
      <x:c r="Y129" s="20"/>
      <x:c r="Z129" s="20"/>
    </x:row>
    <x:row r="130">
      <x:c r="A130" s="20"/>
      <x:c r="B130" s="20"/>
      <x:c r="C130" s="20"/>
      <x:c r="D130" s="20"/>
      <x:c r="E130" s="20"/>
      <x:c r="F130" s="20"/>
      <x:c r="G130" s="20"/>
      <x:c r="H130" s="20"/>
      <x:c r="I130" s="20"/>
      <x:c r="J130" s="20"/>
      <x:c r="K130" s="20"/>
      <x:c r="L130" s="20"/>
      <x:c r="M130" s="20"/>
      <x:c r="N130" s="20"/>
      <x:c r="O130" s="20"/>
      <x:c r="P130" s="20"/>
      <x:c r="Q130" s="20"/>
      <x:c r="R130" s="20"/>
      <x:c r="S130" s="20"/>
      <x:c r="T130" s="20"/>
      <x:c r="U130" s="20"/>
      <x:c r="V130" s="20"/>
      <x:c r="W130" s="20"/>
      <x:c r="X130" s="20"/>
      <x:c r="Y130" s="20"/>
      <x:c r="Z130" s="20"/>
    </x:row>
    <x:row r="131">
      <x:c r="A131" s="20"/>
      <x:c r="B131" s="20"/>
      <x:c r="C131" s="20"/>
      <x:c r="D131" s="20"/>
      <x:c r="E131" s="20"/>
      <x:c r="F131" s="20"/>
      <x:c r="G131" s="20"/>
      <x:c r="H131" s="20"/>
      <x:c r="I131" s="20"/>
      <x:c r="J131" s="20"/>
      <x:c r="K131" s="20"/>
      <x:c r="L131" s="20"/>
      <x:c r="M131" s="20"/>
      <x:c r="N131" s="20"/>
      <x:c r="O131" s="20"/>
      <x:c r="P131" s="20"/>
      <x:c r="Q131" s="20"/>
      <x:c r="R131" s="20"/>
      <x:c r="S131" s="20"/>
      <x:c r="T131" s="20"/>
      <x:c r="U131" s="20"/>
      <x:c r="V131" s="20"/>
      <x:c r="W131" s="20"/>
      <x:c r="X131" s="20"/>
      <x:c r="Y131" s="20"/>
      <x:c r="Z131" s="20"/>
    </x:row>
    <x:row r="132">
      <x:c r="A132" s="20"/>
      <x:c r="B132" s="20"/>
      <x:c r="C132" s="20"/>
      <x:c r="D132" s="20"/>
      <x:c r="E132" s="20"/>
      <x:c r="F132" s="20"/>
      <x:c r="G132" s="20"/>
      <x:c r="H132" s="20"/>
      <x:c r="I132" s="20"/>
      <x:c r="J132" s="20"/>
      <x:c r="K132" s="20"/>
      <x:c r="L132" s="20"/>
      <x:c r="M132" s="20"/>
      <x:c r="N132" s="20"/>
      <x:c r="O132" s="20"/>
      <x:c r="P132" s="20"/>
      <x:c r="Q132" s="20"/>
      <x:c r="R132" s="20"/>
      <x:c r="S132" s="20"/>
      <x:c r="T132" s="20"/>
      <x:c r="U132" s="20"/>
      <x:c r="V132" s="20"/>
      <x:c r="W132" s="20"/>
      <x:c r="X132" s="20"/>
      <x:c r="Y132" s="20"/>
      <x:c r="Z132" s="20"/>
    </x:row>
    <x:row r="133">
      <x:c r="A133" s="20"/>
      <x:c r="B133" s="20"/>
      <x:c r="C133" s="20"/>
      <x:c r="D133" s="20"/>
      <x:c r="E133" s="20"/>
      <x:c r="F133" s="20"/>
      <x:c r="G133" s="20"/>
      <x:c r="H133" s="20"/>
      <x:c r="I133" s="20"/>
      <x:c r="J133" s="20"/>
      <x:c r="K133" s="20"/>
      <x:c r="L133" s="20"/>
      <x:c r="M133" s="20"/>
      <x:c r="N133" s="20"/>
      <x:c r="O133" s="20"/>
      <x:c r="P133" s="20"/>
      <x:c r="Q133" s="20"/>
      <x:c r="R133" s="20"/>
      <x:c r="S133" s="20"/>
      <x:c r="T133" s="20"/>
      <x:c r="U133" s="20"/>
      <x:c r="V133" s="20"/>
      <x:c r="W133" s="20"/>
      <x:c r="X133" s="20"/>
      <x:c r="Y133" s="20"/>
      <x:c r="Z133" s="20"/>
    </x:row>
    <x:row r="134">
      <x:c r="A134" s="20"/>
      <x:c r="B134" s="20"/>
      <x:c r="C134" s="20"/>
      <x:c r="D134" s="20"/>
      <x:c r="E134" s="20"/>
      <x:c r="F134" s="20"/>
      <x:c r="G134" s="20"/>
      <x:c r="H134" s="20"/>
      <x:c r="I134" s="20"/>
      <x:c r="J134" s="20"/>
      <x:c r="K134" s="20"/>
      <x:c r="L134" s="20"/>
      <x:c r="M134" s="20"/>
      <x:c r="N134" s="20"/>
      <x:c r="O134" s="20"/>
      <x:c r="P134" s="20"/>
      <x:c r="Q134" s="20"/>
      <x:c r="R134" s="20"/>
      <x:c r="S134" s="20"/>
      <x:c r="T134" s="20"/>
      <x:c r="U134" s="20"/>
      <x:c r="V134" s="20"/>
      <x:c r="W134" s="20"/>
      <x:c r="X134" s="20"/>
      <x:c r="Y134" s="20"/>
      <x:c r="Z134" s="20"/>
    </x:row>
    <x:row r="135">
      <x:c r="A135" s="20"/>
      <x:c r="B135" s="20"/>
      <x:c r="C135" s="20"/>
      <x:c r="D135" s="20"/>
      <x:c r="E135" s="20"/>
      <x:c r="F135" s="20"/>
      <x:c r="G135" s="20"/>
      <x:c r="H135" s="20"/>
      <x:c r="I135" s="20"/>
      <x:c r="J135" s="20"/>
      <x:c r="K135" s="20"/>
      <x:c r="L135" s="20"/>
      <x:c r="M135" s="20"/>
      <x:c r="N135" s="20"/>
      <x:c r="O135" s="20"/>
      <x:c r="P135" s="20"/>
      <x:c r="Q135" s="20"/>
      <x:c r="R135" s="20"/>
      <x:c r="S135" s="20"/>
      <x:c r="T135" s="20"/>
      <x:c r="U135" s="20"/>
      <x:c r="V135" s="20"/>
      <x:c r="W135" s="20"/>
      <x:c r="X135" s="20"/>
      <x:c r="Y135" s="20"/>
      <x:c r="Z135" s="20"/>
    </x:row>
    <x:row r="136">
      <x:c r="A136" s="20"/>
      <x:c r="B136" s="20"/>
      <x:c r="C136" s="20"/>
      <x:c r="D136" s="20"/>
      <x:c r="E136" s="20"/>
      <x:c r="F136" s="20"/>
      <x:c r="G136" s="20"/>
      <x:c r="H136" s="20"/>
      <x:c r="I136" s="20"/>
      <x:c r="J136" s="20"/>
      <x:c r="K136" s="20"/>
      <x:c r="L136" s="20"/>
      <x:c r="M136" s="20"/>
      <x:c r="N136" s="20"/>
      <x:c r="O136" s="20"/>
      <x:c r="P136" s="20"/>
      <x:c r="Q136" s="20"/>
      <x:c r="R136" s="20"/>
      <x:c r="S136" s="20"/>
      <x:c r="T136" s="20"/>
      <x:c r="U136" s="20"/>
      <x:c r="V136" s="20"/>
      <x:c r="W136" s="20"/>
      <x:c r="X136" s="20"/>
      <x:c r="Y136" s="20"/>
      <x:c r="Z136" s="20"/>
    </x:row>
    <x:row r="137">
      <x:c r="A137" s="20"/>
      <x:c r="B137" s="20"/>
      <x:c r="C137" s="20"/>
      <x:c r="D137" s="20"/>
      <x:c r="E137" s="20"/>
      <x:c r="F137" s="20"/>
      <x:c r="G137" s="20"/>
      <x:c r="H137" s="20"/>
      <x:c r="I137" s="20"/>
      <x:c r="J137" s="20"/>
      <x:c r="K137" s="20"/>
      <x:c r="L137" s="20"/>
      <x:c r="M137" s="20"/>
      <x:c r="N137" s="20"/>
      <x:c r="O137" s="20"/>
      <x:c r="P137" s="20"/>
      <x:c r="Q137" s="20"/>
      <x:c r="R137" s="20"/>
      <x:c r="S137" s="20"/>
      <x:c r="T137" s="20"/>
      <x:c r="U137" s="20"/>
      <x:c r="V137" s="20"/>
      <x:c r="W137" s="20"/>
      <x:c r="X137" s="20"/>
      <x:c r="Y137" s="20"/>
      <x:c r="Z137" s="20"/>
    </x:row>
    <x:row r="138">
      <x:c r="A138" s="20"/>
      <x:c r="B138" s="20"/>
      <x:c r="C138" s="20"/>
      <x:c r="D138" s="20"/>
      <x:c r="E138" s="20"/>
      <x:c r="F138" s="20"/>
      <x:c r="G138" s="20"/>
      <x:c r="H138" s="20"/>
      <x:c r="I138" s="20"/>
      <x:c r="J138" s="20"/>
      <x:c r="K138" s="20"/>
      <x:c r="L138" s="20"/>
      <x:c r="M138" s="20"/>
      <x:c r="N138" s="20"/>
      <x:c r="O138" s="20"/>
      <x:c r="P138" s="20"/>
      <x:c r="Q138" s="20"/>
      <x:c r="R138" s="20"/>
      <x:c r="S138" s="20"/>
      <x:c r="T138" s="20"/>
      <x:c r="U138" s="20"/>
      <x:c r="V138" s="20"/>
      <x:c r="W138" s="20"/>
      <x:c r="X138" s="20"/>
      <x:c r="Y138" s="20"/>
      <x:c r="Z138" s="20"/>
    </x:row>
    <x:row r="139">
      <x:c r="A139" s="20"/>
      <x:c r="B139" s="20"/>
      <x:c r="C139" s="20"/>
      <x:c r="D139" s="20"/>
      <x:c r="E139" s="20"/>
      <x:c r="F139" s="20"/>
      <x:c r="G139" s="20"/>
      <x:c r="H139" s="20"/>
      <x:c r="I139" s="20"/>
      <x:c r="J139" s="20"/>
      <x:c r="K139" s="20"/>
      <x:c r="L139" s="20"/>
      <x:c r="M139" s="20"/>
      <x:c r="N139" s="20"/>
      <x:c r="O139" s="20"/>
      <x:c r="P139" s="20"/>
      <x:c r="Q139" s="20"/>
      <x:c r="R139" s="20"/>
      <x:c r="S139" s="20"/>
      <x:c r="T139" s="20"/>
      <x:c r="U139" s="20"/>
      <x:c r="V139" s="20"/>
      <x:c r="W139" s="20"/>
      <x:c r="X139" s="20"/>
      <x:c r="Y139" s="20"/>
      <x:c r="Z139" s="20"/>
    </x:row>
    <x:row r="140">
      <x:c r="A140" s="20"/>
      <x:c r="B140" s="20"/>
      <x:c r="C140" s="20"/>
      <x:c r="D140" s="20"/>
      <x:c r="E140" s="20"/>
      <x:c r="F140" s="20"/>
      <x:c r="G140" s="20"/>
      <x:c r="H140" s="20"/>
      <x:c r="I140" s="20"/>
      <x:c r="J140" s="20"/>
      <x:c r="K140" s="20"/>
      <x:c r="L140" s="20"/>
      <x:c r="M140" s="20"/>
      <x:c r="N140" s="20"/>
      <x:c r="O140" s="20"/>
      <x:c r="P140" s="20"/>
      <x:c r="Q140" s="20"/>
      <x:c r="R140" s="20"/>
      <x:c r="S140" s="20"/>
      <x:c r="T140" s="20"/>
      <x:c r="U140" s="20"/>
      <x:c r="V140" s="20"/>
      <x:c r="W140" s="20"/>
      <x:c r="X140" s="20"/>
      <x:c r="Y140" s="20"/>
      <x:c r="Z140" s="20"/>
    </x:row>
    <x:row r="141">
      <x:c r="A141" s="20"/>
      <x:c r="B141" s="20"/>
      <x:c r="C141" s="20"/>
      <x:c r="D141" s="20"/>
      <x:c r="E141" s="20"/>
      <x:c r="F141" s="20"/>
      <x:c r="G141" s="20"/>
      <x:c r="H141" s="20"/>
      <x:c r="I141" s="20"/>
      <x:c r="J141" s="20"/>
      <x:c r="K141" s="20"/>
      <x:c r="L141" s="20"/>
      <x:c r="M141" s="20"/>
      <x:c r="N141" s="20"/>
      <x:c r="O141" s="20"/>
      <x:c r="P141" s="20"/>
      <x:c r="Q141" s="20"/>
      <x:c r="R141" s="20"/>
      <x:c r="S141" s="20"/>
      <x:c r="T141" s="20"/>
      <x:c r="U141" s="20"/>
      <x:c r="V141" s="20"/>
      <x:c r="W141" s="20"/>
      <x:c r="X141" s="20"/>
      <x:c r="Y141" s="20"/>
      <x:c r="Z141" s="20"/>
    </x:row>
    <x:row r="142">
      <x:c r="A142" s="20"/>
      <x:c r="B142" s="20"/>
      <x:c r="C142" s="20"/>
      <x:c r="D142" s="20"/>
      <x:c r="E142" s="20"/>
      <x:c r="F142" s="20"/>
      <x:c r="G142" s="20"/>
      <x:c r="H142" s="20"/>
      <x:c r="I142" s="20"/>
      <x:c r="J142" s="20"/>
      <x:c r="K142" s="20"/>
      <x:c r="L142" s="20"/>
      <x:c r="M142" s="20"/>
      <x:c r="N142" s="20"/>
      <x:c r="O142" s="20"/>
      <x:c r="P142" s="20"/>
      <x:c r="Q142" s="20"/>
      <x:c r="R142" s="20"/>
      <x:c r="S142" s="20"/>
      <x:c r="T142" s="20"/>
      <x:c r="U142" s="20"/>
      <x:c r="V142" s="20"/>
      <x:c r="W142" s="20"/>
      <x:c r="X142" s="20"/>
      <x:c r="Y142" s="20"/>
      <x:c r="Z142" s="20"/>
    </x:row>
    <x:row r="143">
      <x:c r="A143" s="20"/>
      <x:c r="B143" s="20"/>
      <x:c r="C143" s="20"/>
      <x:c r="D143" s="20"/>
      <x:c r="E143" s="20"/>
      <x:c r="F143" s="20"/>
      <x:c r="G143" s="20"/>
      <x:c r="H143" s="20"/>
      <x:c r="I143" s="20"/>
      <x:c r="J143" s="20"/>
      <x:c r="K143" s="20"/>
      <x:c r="L143" s="20"/>
      <x:c r="M143" s="20"/>
      <x:c r="N143" s="20"/>
      <x:c r="O143" s="20"/>
      <x:c r="P143" s="20"/>
      <x:c r="Q143" s="20"/>
      <x:c r="R143" s="20"/>
      <x:c r="S143" s="20"/>
      <x:c r="T143" s="20"/>
      <x:c r="U143" s="20"/>
      <x:c r="V143" s="20"/>
      <x:c r="W143" s="20"/>
      <x:c r="X143" s="20"/>
      <x:c r="Y143" s="20"/>
      <x:c r="Z143" s="20"/>
    </x:row>
    <x:row r="144">
      <x:c r="A144" s="20"/>
      <x:c r="B144" s="20"/>
      <x:c r="C144" s="20"/>
      <x:c r="D144" s="20"/>
      <x:c r="E144" s="20"/>
      <x:c r="F144" s="20"/>
      <x:c r="G144" s="20"/>
      <x:c r="H144" s="20"/>
      <x:c r="I144" s="20"/>
      <x:c r="J144" s="20"/>
      <x:c r="K144" s="20"/>
      <x:c r="L144" s="20"/>
      <x:c r="M144" s="20"/>
      <x:c r="N144" s="20"/>
      <x:c r="O144" s="20"/>
      <x:c r="P144" s="20"/>
      <x:c r="Q144" s="20"/>
      <x:c r="R144" s="20"/>
      <x:c r="S144" s="20"/>
      <x:c r="T144" s="20"/>
      <x:c r="U144" s="20"/>
      <x:c r="V144" s="20"/>
      <x:c r="W144" s="20"/>
      <x:c r="X144" s="20"/>
      <x:c r="Y144" s="20"/>
      <x:c r="Z144" s="20"/>
    </x:row>
    <x:row r="145">
      <x:c r="A145" s="20"/>
      <x:c r="B145" s="20"/>
      <x:c r="C145" s="20"/>
      <x:c r="D145" s="20"/>
      <x:c r="E145" s="20"/>
      <x:c r="F145" s="20"/>
      <x:c r="G145" s="20"/>
      <x:c r="H145" s="20"/>
      <x:c r="I145" s="20"/>
      <x:c r="J145" s="20"/>
      <x:c r="K145" s="20"/>
      <x:c r="L145" s="20"/>
      <x:c r="M145" s="20"/>
      <x:c r="N145" s="20"/>
      <x:c r="O145" s="20"/>
      <x:c r="P145" s="20"/>
      <x:c r="Q145" s="20"/>
      <x:c r="R145" s="20"/>
      <x:c r="S145" s="20"/>
      <x:c r="T145" s="20"/>
      <x:c r="U145" s="20"/>
      <x:c r="V145" s="20"/>
      <x:c r="W145" s="20"/>
      <x:c r="X145" s="20"/>
      <x:c r="Y145" s="20"/>
      <x:c r="Z145" s="20"/>
    </x:row>
    <x:row r="146">
      <x:c r="A146" s="20"/>
      <x:c r="B146" s="20"/>
      <x:c r="C146" s="20"/>
      <x:c r="D146" s="20"/>
      <x:c r="E146" s="20"/>
      <x:c r="F146" s="20"/>
      <x:c r="G146" s="20"/>
      <x:c r="H146" s="20"/>
      <x:c r="I146" s="20"/>
      <x:c r="J146" s="20"/>
      <x:c r="K146" s="20"/>
      <x:c r="L146" s="20"/>
      <x:c r="M146" s="20"/>
      <x:c r="N146" s="20"/>
      <x:c r="O146" s="20"/>
      <x:c r="P146" s="20"/>
      <x:c r="Q146" s="20"/>
      <x:c r="R146" s="20"/>
      <x:c r="S146" s="20"/>
      <x:c r="T146" s="20"/>
      <x:c r="U146" s="20"/>
      <x:c r="V146" s="20"/>
      <x:c r="W146" s="20"/>
      <x:c r="X146" s="20"/>
      <x:c r="Y146" s="20"/>
      <x:c r="Z146" s="20"/>
    </x:row>
    <x:row r="147">
      <x:c r="A147" s="20"/>
      <x:c r="B147" s="20"/>
      <x:c r="C147" s="20"/>
      <x:c r="D147" s="20"/>
      <x:c r="E147" s="20"/>
      <x:c r="F147" s="20"/>
      <x:c r="G147" s="20"/>
      <x:c r="H147" s="20"/>
      <x:c r="I147" s="20"/>
      <x:c r="J147" s="20"/>
      <x:c r="K147" s="20"/>
      <x:c r="L147" s="20"/>
      <x:c r="M147" s="20"/>
      <x:c r="N147" s="20"/>
      <x:c r="O147" s="20"/>
      <x:c r="P147" s="20"/>
      <x:c r="Q147" s="20"/>
      <x:c r="R147" s="20"/>
      <x:c r="S147" s="20"/>
      <x:c r="T147" s="20"/>
      <x:c r="U147" s="20"/>
      <x:c r="V147" s="20"/>
      <x:c r="W147" s="20"/>
      <x:c r="X147" s="20"/>
      <x:c r="Y147" s="20"/>
      <x:c r="Z147" s="20"/>
    </x:row>
    <x:row r="148">
      <x:c r="A148" s="20"/>
      <x:c r="B148" s="20"/>
      <x:c r="C148" s="20"/>
      <x:c r="D148" s="20"/>
      <x:c r="E148" s="20"/>
      <x:c r="F148" s="20"/>
      <x:c r="G148" s="20"/>
      <x:c r="H148" s="20"/>
      <x:c r="I148" s="20"/>
      <x:c r="J148" s="20"/>
      <x:c r="K148" s="20"/>
      <x:c r="L148" s="20"/>
      <x:c r="M148" s="20"/>
      <x:c r="N148" s="20"/>
      <x:c r="O148" s="20"/>
      <x:c r="P148" s="20"/>
      <x:c r="Q148" s="20"/>
      <x:c r="R148" s="20"/>
      <x:c r="S148" s="20"/>
      <x:c r="T148" s="20"/>
      <x:c r="U148" s="20"/>
      <x:c r="V148" s="20"/>
      <x:c r="W148" s="20"/>
      <x:c r="X148" s="20"/>
      <x:c r="Y148" s="20"/>
      <x:c r="Z148" s="20"/>
    </x:row>
    <x:row r="149">
      <x:c r="A149" s="20"/>
      <x:c r="B149" s="20"/>
      <x:c r="C149" s="20"/>
      <x:c r="D149" s="20"/>
      <x:c r="E149" s="20"/>
      <x:c r="F149" s="20"/>
      <x:c r="G149" s="20"/>
      <x:c r="H149" s="20"/>
      <x:c r="I149" s="20"/>
      <x:c r="J149" s="20"/>
      <x:c r="K149" s="20"/>
      <x:c r="L149" s="20"/>
      <x:c r="M149" s="20"/>
      <x:c r="N149" s="20"/>
      <x:c r="O149" s="20"/>
      <x:c r="P149" s="20"/>
      <x:c r="Q149" s="20"/>
      <x:c r="R149" s="20"/>
      <x:c r="S149" s="20"/>
      <x:c r="T149" s="20"/>
      <x:c r="U149" s="20"/>
      <x:c r="V149" s="20"/>
      <x:c r="W149" s="20"/>
      <x:c r="X149" s="20"/>
      <x:c r="Y149" s="20"/>
      <x:c r="Z149" s="20"/>
    </x:row>
    <x:row r="150">
      <x:c r="A150" s="20"/>
      <x:c r="B150" s="20"/>
      <x:c r="C150" s="20"/>
      <x:c r="D150" s="20"/>
      <x:c r="E150" s="20"/>
      <x:c r="F150" s="20"/>
      <x:c r="G150" s="20"/>
      <x:c r="H150" s="20"/>
      <x:c r="I150" s="20"/>
      <x:c r="J150" s="20"/>
      <x:c r="K150" s="20"/>
      <x:c r="L150" s="20"/>
      <x:c r="M150" s="20"/>
      <x:c r="N150" s="20"/>
      <x:c r="O150" s="20"/>
      <x:c r="P150" s="20"/>
      <x:c r="Q150" s="20"/>
      <x:c r="R150" s="20"/>
      <x:c r="S150" s="20"/>
      <x:c r="T150" s="20"/>
      <x:c r="U150" s="20"/>
      <x:c r="V150" s="20"/>
      <x:c r="W150" s="20"/>
      <x:c r="X150" s="20"/>
      <x:c r="Y150" s="20"/>
      <x:c r="Z150" s="20"/>
    </x:row>
    <x:row r="151">
      <x:c r="A151" s="20"/>
      <x:c r="B151" s="20"/>
      <x:c r="C151" s="20"/>
      <x:c r="D151" s="20"/>
      <x:c r="E151" s="20"/>
      <x:c r="F151" s="20"/>
      <x:c r="G151" s="20"/>
      <x:c r="H151" s="20"/>
      <x:c r="I151" s="20"/>
      <x:c r="J151" s="20"/>
      <x:c r="K151" s="20"/>
      <x:c r="L151" s="20"/>
      <x:c r="M151" s="20"/>
      <x:c r="N151" s="20"/>
      <x:c r="O151" s="20"/>
      <x:c r="P151" s="20"/>
      <x:c r="Q151" s="20"/>
      <x:c r="R151" s="20"/>
      <x:c r="S151" s="20"/>
      <x:c r="T151" s="20"/>
      <x:c r="U151" s="20"/>
      <x:c r="V151" s="20"/>
      <x:c r="W151" s="20"/>
      <x:c r="X151" s="20"/>
      <x:c r="Y151" s="20"/>
      <x:c r="Z151" s="20"/>
    </x:row>
    <x:row r="152">
      <x:c r="A152" s="20"/>
      <x:c r="B152" s="20"/>
      <x:c r="C152" s="20"/>
      <x:c r="D152" s="20"/>
      <x:c r="E152" s="20"/>
      <x:c r="F152" s="20"/>
      <x:c r="G152" s="20"/>
      <x:c r="H152" s="20"/>
      <x:c r="I152" s="20"/>
      <x:c r="J152" s="20"/>
      <x:c r="K152" s="20"/>
      <x:c r="L152" s="20"/>
      <x:c r="M152" s="20"/>
      <x:c r="N152" s="20"/>
      <x:c r="O152" s="20"/>
      <x:c r="P152" s="20"/>
      <x:c r="Q152" s="20"/>
      <x:c r="R152" s="20"/>
      <x:c r="S152" s="20"/>
      <x:c r="T152" s="20"/>
      <x:c r="U152" s="20"/>
      <x:c r="V152" s="20"/>
      <x:c r="W152" s="20"/>
      <x:c r="X152" s="20"/>
      <x:c r="Y152" s="20"/>
      <x:c r="Z152" s="20"/>
    </x:row>
    <x:row r="153">
      <x:c r="A153" s="20"/>
      <x:c r="B153" s="20"/>
      <x:c r="C153" s="20"/>
      <x:c r="D153" s="20"/>
      <x:c r="E153" s="20"/>
      <x:c r="F153" s="20"/>
      <x:c r="G153" s="20"/>
      <x:c r="H153" s="20"/>
      <x:c r="I153" s="20"/>
      <x:c r="J153" s="20"/>
      <x:c r="K153" s="20"/>
      <x:c r="L153" s="20"/>
      <x:c r="M153" s="20"/>
      <x:c r="N153" s="20"/>
      <x:c r="O153" s="20"/>
      <x:c r="P153" s="20"/>
      <x:c r="Q153" s="20"/>
      <x:c r="R153" s="20"/>
      <x:c r="S153" s="20"/>
      <x:c r="T153" s="20"/>
      <x:c r="U153" s="20"/>
      <x:c r="V153" s="20"/>
      <x:c r="W153" s="20"/>
      <x:c r="X153" s="20"/>
      <x:c r="Y153" s="20"/>
      <x:c r="Z153" s="20"/>
    </x:row>
    <x:row r="154">
      <x:c r="A154" s="20"/>
      <x:c r="B154" s="20"/>
      <x:c r="C154" s="20"/>
      <x:c r="D154" s="20"/>
      <x:c r="E154" s="20"/>
      <x:c r="F154" s="20"/>
      <x:c r="G154" s="20"/>
      <x:c r="H154" s="20"/>
      <x:c r="I154" s="20"/>
      <x:c r="J154" s="20"/>
      <x:c r="K154" s="20"/>
      <x:c r="L154" s="20"/>
      <x:c r="M154" s="20"/>
      <x:c r="N154" s="20"/>
      <x:c r="O154" s="20"/>
      <x:c r="P154" s="20"/>
      <x:c r="Q154" s="20"/>
      <x:c r="R154" s="20"/>
      <x:c r="S154" s="20"/>
      <x:c r="T154" s="20"/>
      <x:c r="U154" s="20"/>
      <x:c r="V154" s="20"/>
      <x:c r="W154" s="20"/>
      <x:c r="X154" s="20"/>
      <x:c r="Y154" s="20"/>
      <x:c r="Z154" s="20"/>
    </x:row>
    <x:row r="155">
      <x:c r="A155" s="20"/>
      <x:c r="B155" s="20"/>
      <x:c r="C155" s="20"/>
      <x:c r="D155" s="20"/>
      <x:c r="E155" s="20"/>
      <x:c r="F155" s="20"/>
      <x:c r="G155" s="20"/>
      <x:c r="H155" s="20"/>
      <x:c r="I155" s="20"/>
      <x:c r="J155" s="20"/>
      <x:c r="K155" s="20"/>
      <x:c r="L155" s="20"/>
      <x:c r="M155" s="20"/>
      <x:c r="N155" s="20"/>
      <x:c r="O155" s="20"/>
      <x:c r="P155" s="20"/>
      <x:c r="Q155" s="20"/>
      <x:c r="R155" s="20"/>
      <x:c r="S155" s="20"/>
      <x:c r="T155" s="20"/>
      <x:c r="U155" s="20"/>
      <x:c r="V155" s="20"/>
      <x:c r="W155" s="20"/>
      <x:c r="X155" s="20"/>
      <x:c r="Y155" s="20"/>
      <x:c r="Z155" s="20"/>
    </x:row>
    <x:row r="156">
      <x:c r="A156" s="20"/>
      <x:c r="B156" s="20"/>
      <x:c r="C156" s="20"/>
      <x:c r="D156" s="20"/>
      <x:c r="E156" s="20"/>
      <x:c r="F156" s="20"/>
      <x:c r="G156" s="20"/>
      <x:c r="H156" s="20"/>
      <x:c r="I156" s="20"/>
      <x:c r="J156" s="20"/>
      <x:c r="K156" s="20"/>
      <x:c r="L156" s="20"/>
      <x:c r="M156" s="20"/>
      <x:c r="N156" s="20"/>
      <x:c r="O156" s="20"/>
      <x:c r="P156" s="20"/>
      <x:c r="Q156" s="20"/>
      <x:c r="R156" s="20"/>
      <x:c r="S156" s="20"/>
      <x:c r="T156" s="20"/>
      <x:c r="U156" s="20"/>
      <x:c r="V156" s="20"/>
      <x:c r="W156" s="20"/>
      <x:c r="X156" s="20"/>
      <x:c r="Y156" s="20"/>
      <x:c r="Z156" s="20"/>
    </x:row>
    <x:row r="157">
      <x:c r="A157" s="20"/>
      <x:c r="B157" s="20"/>
      <x:c r="C157" s="20"/>
      <x:c r="D157" s="20"/>
      <x:c r="E157" s="20"/>
      <x:c r="F157" s="20"/>
      <x:c r="G157" s="20"/>
      <x:c r="H157" s="20"/>
      <x:c r="I157" s="20"/>
      <x:c r="J157" s="20"/>
      <x:c r="K157" s="20"/>
      <x:c r="L157" s="20"/>
      <x:c r="M157" s="20"/>
      <x:c r="N157" s="20"/>
      <x:c r="O157" s="20"/>
      <x:c r="P157" s="20"/>
      <x:c r="Q157" s="20"/>
      <x:c r="R157" s="20"/>
      <x:c r="S157" s="20"/>
      <x:c r="T157" s="20"/>
      <x:c r="U157" s="20"/>
      <x:c r="V157" s="20"/>
      <x:c r="W157" s="20"/>
      <x:c r="X157" s="20"/>
      <x:c r="Y157" s="20"/>
      <x:c r="Z157" s="20"/>
    </x:row>
    <x:row r="158">
      <x:c r="A158" s="20"/>
      <x:c r="B158" s="20"/>
      <x:c r="C158" s="20"/>
      <x:c r="D158" s="20"/>
      <x:c r="E158" s="20"/>
      <x:c r="F158" s="20"/>
      <x:c r="G158" s="20"/>
      <x:c r="H158" s="20"/>
      <x:c r="I158" s="20"/>
      <x:c r="J158" s="20"/>
      <x:c r="K158" s="20"/>
      <x:c r="L158" s="20"/>
      <x:c r="M158" s="20"/>
      <x:c r="N158" s="20"/>
      <x:c r="O158" s="20"/>
      <x:c r="P158" s="20"/>
      <x:c r="Q158" s="20"/>
      <x:c r="R158" s="20"/>
      <x:c r="S158" s="20"/>
      <x:c r="T158" s="20"/>
      <x:c r="U158" s="20"/>
      <x:c r="V158" s="20"/>
      <x:c r="W158" s="20"/>
      <x:c r="X158" s="20"/>
      <x:c r="Y158" s="20"/>
      <x:c r="Z158" s="20"/>
    </x:row>
    <x:row r="159">
      <x:c r="A159" s="20"/>
      <x:c r="B159" s="20"/>
      <x:c r="C159" s="20"/>
      <x:c r="D159" s="20"/>
      <x:c r="E159" s="20"/>
      <x:c r="F159" s="20"/>
      <x:c r="G159" s="20"/>
      <x:c r="H159" s="20"/>
      <x:c r="I159" s="20"/>
      <x:c r="J159" s="20"/>
      <x:c r="K159" s="20"/>
      <x:c r="L159" s="20"/>
      <x:c r="M159" s="20"/>
      <x:c r="N159" s="20"/>
      <x:c r="O159" s="20"/>
      <x:c r="P159" s="20"/>
      <x:c r="Q159" s="20"/>
      <x:c r="R159" s="20"/>
      <x:c r="S159" s="20"/>
      <x:c r="T159" s="20"/>
      <x:c r="U159" s="20"/>
      <x:c r="V159" s="20"/>
      <x:c r="W159" s="20"/>
      <x:c r="X159" s="20"/>
      <x:c r="Y159" s="20"/>
      <x:c r="Z159" s="20"/>
    </x:row>
    <x:row r="160">
      <x:c r="A160" s="20"/>
      <x:c r="B160" s="20"/>
      <x:c r="C160" s="20"/>
      <x:c r="D160" s="20"/>
      <x:c r="E160" s="20"/>
      <x:c r="F160" s="20"/>
      <x:c r="G160" s="20"/>
      <x:c r="H160" s="20"/>
      <x:c r="I160" s="20"/>
      <x:c r="J160" s="20"/>
      <x:c r="K160" s="20"/>
      <x:c r="L160" s="20"/>
      <x:c r="M160" s="20"/>
      <x:c r="N160" s="20"/>
      <x:c r="O160" s="20"/>
      <x:c r="P160" s="20"/>
      <x:c r="Q160" s="20"/>
      <x:c r="R160" s="20"/>
      <x:c r="S160" s="20"/>
      <x:c r="T160" s="20"/>
      <x:c r="U160" s="20"/>
      <x:c r="V160" s="20"/>
      <x:c r="W160" s="20"/>
      <x:c r="X160" s="20"/>
      <x:c r="Y160" s="20"/>
      <x:c r="Z160" s="20"/>
    </x:row>
    <x:row r="161">
      <x:c r="A161" s="20"/>
      <x:c r="B161" s="20"/>
      <x:c r="C161" s="20"/>
      <x:c r="D161" s="20"/>
      <x:c r="E161" s="20"/>
      <x:c r="F161" s="20"/>
      <x:c r="G161" s="20"/>
      <x:c r="H161" s="20"/>
      <x:c r="I161" s="20"/>
      <x:c r="J161" s="20"/>
      <x:c r="K161" s="20"/>
      <x:c r="L161" s="20"/>
      <x:c r="M161" s="20"/>
      <x:c r="N161" s="20"/>
      <x:c r="O161" s="20"/>
      <x:c r="P161" s="20"/>
      <x:c r="Q161" s="20"/>
      <x:c r="R161" s="20"/>
      <x:c r="S161" s="20"/>
      <x:c r="T161" s="20"/>
      <x:c r="U161" s="20"/>
      <x:c r="V161" s="20"/>
      <x:c r="W161" s="20"/>
      <x:c r="X161" s="20"/>
      <x:c r="Y161" s="20"/>
      <x:c r="Z161" s="20"/>
    </x:row>
    <x:row r="162">
      <x:c r="A162" s="20"/>
      <x:c r="B162" s="20"/>
      <x:c r="C162" s="20"/>
      <x:c r="D162" s="20"/>
      <x:c r="E162" s="20"/>
      <x:c r="F162" s="20"/>
      <x:c r="G162" s="20"/>
      <x:c r="H162" s="20"/>
      <x:c r="I162" s="20"/>
      <x:c r="J162" s="20"/>
      <x:c r="K162" s="20"/>
      <x:c r="L162" s="20"/>
      <x:c r="M162" s="20"/>
      <x:c r="N162" s="20"/>
      <x:c r="O162" s="20"/>
      <x:c r="P162" s="20"/>
      <x:c r="Q162" s="20"/>
      <x:c r="R162" s="20"/>
      <x:c r="S162" s="20"/>
      <x:c r="T162" s="20"/>
      <x:c r="U162" s="20"/>
      <x:c r="V162" s="20"/>
      <x:c r="W162" s="20"/>
      <x:c r="X162" s="20"/>
      <x:c r="Y162" s="20"/>
      <x:c r="Z162" s="20"/>
    </x:row>
    <x:row r="163">
      <x:c r="A163" s="20"/>
      <x:c r="B163" s="20"/>
      <x:c r="C163" s="20"/>
      <x:c r="D163" s="20"/>
      <x:c r="E163" s="20"/>
      <x:c r="F163" s="20"/>
      <x:c r="G163" s="20"/>
      <x:c r="H163" s="20"/>
      <x:c r="I163" s="20"/>
      <x:c r="J163" s="20"/>
      <x:c r="K163" s="20"/>
      <x:c r="L163" s="20"/>
      <x:c r="M163" s="20"/>
      <x:c r="N163" s="20"/>
      <x:c r="O163" s="20"/>
      <x:c r="P163" s="20"/>
      <x:c r="Q163" s="20"/>
      <x:c r="R163" s="20"/>
      <x:c r="S163" s="20"/>
      <x:c r="T163" s="20"/>
      <x:c r="U163" s="20"/>
      <x:c r="V163" s="20"/>
      <x:c r="W163" s="20"/>
      <x:c r="X163" s="20"/>
      <x:c r="Y163" s="20"/>
      <x:c r="Z163" s="20"/>
    </x:row>
    <x:row r="164">
      <x:c r="A164" s="20"/>
      <x:c r="B164" s="20"/>
      <x:c r="C164" s="20"/>
      <x:c r="D164" s="20"/>
      <x:c r="E164" s="20"/>
      <x:c r="F164" s="20"/>
      <x:c r="G164" s="20"/>
      <x:c r="H164" s="20"/>
      <x:c r="I164" s="20"/>
      <x:c r="J164" s="20"/>
      <x:c r="K164" s="20"/>
      <x:c r="L164" s="20"/>
      <x:c r="M164" s="20"/>
      <x:c r="N164" s="20"/>
      <x:c r="O164" s="20"/>
      <x:c r="P164" s="20"/>
      <x:c r="Q164" s="20"/>
      <x:c r="R164" s="20"/>
      <x:c r="S164" s="20"/>
      <x:c r="T164" s="20"/>
      <x:c r="U164" s="20"/>
      <x:c r="V164" s="20"/>
      <x:c r="W164" s="20"/>
      <x:c r="X164" s="20"/>
      <x:c r="Y164" s="20"/>
      <x:c r="Z164" s="20"/>
    </x:row>
    <x:row r="165">
      <x:c r="A165" s="20"/>
      <x:c r="B165" s="20"/>
      <x:c r="C165" s="20"/>
      <x:c r="D165" s="20"/>
      <x:c r="E165" s="20"/>
      <x:c r="F165" s="20"/>
      <x:c r="G165" s="20"/>
      <x:c r="H165" s="20"/>
      <x:c r="I165" s="20"/>
      <x:c r="J165" s="20"/>
      <x:c r="K165" s="20"/>
      <x:c r="L165" s="20"/>
      <x:c r="M165" s="20"/>
      <x:c r="N165" s="20"/>
      <x:c r="O165" s="20"/>
      <x:c r="P165" s="20"/>
      <x:c r="Q165" s="20"/>
      <x:c r="R165" s="20"/>
      <x:c r="S165" s="20"/>
      <x:c r="T165" s="20"/>
      <x:c r="U165" s="20"/>
      <x:c r="V165" s="20"/>
      <x:c r="W165" s="20"/>
      <x:c r="X165" s="20"/>
      <x:c r="Y165" s="20"/>
      <x:c r="Z165" s="20"/>
    </x:row>
    <x:row r="166">
      <x:c r="A166" s="20"/>
      <x:c r="B166" s="20"/>
      <x:c r="C166" s="20"/>
      <x:c r="D166" s="20"/>
      <x:c r="E166" s="20"/>
      <x:c r="F166" s="20"/>
      <x:c r="G166" s="20"/>
      <x:c r="H166" s="20"/>
      <x:c r="I166" s="20"/>
      <x:c r="J166" s="20"/>
      <x:c r="K166" s="20"/>
      <x:c r="L166" s="20"/>
      <x:c r="M166" s="20"/>
      <x:c r="N166" s="20"/>
      <x:c r="O166" s="20"/>
      <x:c r="P166" s="20"/>
      <x:c r="Q166" s="20"/>
      <x:c r="R166" s="20"/>
      <x:c r="S166" s="20"/>
      <x:c r="T166" s="20"/>
      <x:c r="U166" s="20"/>
      <x:c r="V166" s="20"/>
      <x:c r="W166" s="20"/>
      <x:c r="X166" s="20"/>
      <x:c r="Y166" s="20"/>
      <x:c r="Z166" s="20"/>
    </x:row>
    <x:row r="167">
      <x:c r="A167" s="20"/>
      <x:c r="B167" s="20"/>
      <x:c r="C167" s="20"/>
      <x:c r="D167" s="20"/>
      <x:c r="E167" s="20"/>
      <x:c r="F167" s="20"/>
      <x:c r="G167" s="20"/>
      <x:c r="H167" s="20"/>
      <x:c r="I167" s="20"/>
      <x:c r="J167" s="20"/>
      <x:c r="K167" s="20"/>
      <x:c r="L167" s="20"/>
      <x:c r="M167" s="20"/>
      <x:c r="N167" s="20"/>
      <x:c r="O167" s="20"/>
      <x:c r="P167" s="20"/>
      <x:c r="Q167" s="20"/>
      <x:c r="R167" s="20"/>
      <x:c r="S167" s="20"/>
      <x:c r="T167" s="20"/>
      <x:c r="U167" s="20"/>
      <x:c r="V167" s="20"/>
      <x:c r="W167" s="20"/>
      <x:c r="X167" s="20"/>
      <x:c r="Y167" s="20"/>
      <x:c r="Z167" s="20"/>
    </x:row>
    <x:row r="168">
      <x:c r="A168" s="20"/>
      <x:c r="B168" s="20"/>
      <x:c r="C168" s="20"/>
      <x:c r="D168" s="20"/>
      <x:c r="E168" s="20"/>
      <x:c r="F168" s="20"/>
      <x:c r="G168" s="20"/>
      <x:c r="H168" s="20"/>
      <x:c r="I168" s="20"/>
      <x:c r="J168" s="20"/>
      <x:c r="K168" s="20"/>
      <x:c r="L168" s="20"/>
      <x:c r="M168" s="20"/>
      <x:c r="N168" s="20"/>
      <x:c r="O168" s="20"/>
      <x:c r="P168" s="20"/>
      <x:c r="Q168" s="20"/>
      <x:c r="R168" s="20"/>
      <x:c r="S168" s="20"/>
      <x:c r="T168" s="20"/>
      <x:c r="U168" s="20"/>
      <x:c r="V168" s="20"/>
      <x:c r="W168" s="20"/>
      <x:c r="X168" s="20"/>
      <x:c r="Y168" s="20"/>
      <x:c r="Z168" s="20"/>
    </x:row>
    <x:row r="169">
      <x:c r="A169" s="20"/>
      <x:c r="B169" s="20"/>
      <x:c r="C169" s="20"/>
      <x:c r="D169" s="20"/>
      <x:c r="E169" s="20"/>
      <x:c r="F169" s="20"/>
      <x:c r="G169" s="20"/>
      <x:c r="H169" s="20"/>
      <x:c r="I169" s="20"/>
      <x:c r="J169" s="20"/>
      <x:c r="K169" s="20"/>
      <x:c r="L169" s="20"/>
      <x:c r="M169" s="20"/>
      <x:c r="N169" s="20"/>
      <x:c r="O169" s="20"/>
      <x:c r="P169" s="20"/>
      <x:c r="Q169" s="20"/>
      <x:c r="R169" s="20"/>
      <x:c r="S169" s="20"/>
      <x:c r="T169" s="20"/>
      <x:c r="U169" s="20"/>
      <x:c r="V169" s="20"/>
      <x:c r="W169" s="20"/>
      <x:c r="X169" s="20"/>
      <x:c r="Y169" s="20"/>
      <x:c r="Z169" s="20"/>
    </x:row>
    <x:row r="170">
      <x:c r="A170" s="20"/>
      <x:c r="B170" s="20"/>
      <x:c r="C170" s="20"/>
      <x:c r="D170" s="20"/>
      <x:c r="E170" s="20"/>
      <x:c r="F170" s="20"/>
      <x:c r="G170" s="20"/>
      <x:c r="H170" s="20"/>
      <x:c r="I170" s="20"/>
      <x:c r="J170" s="20"/>
      <x:c r="K170" s="20"/>
      <x:c r="L170" s="20"/>
      <x:c r="M170" s="20"/>
      <x:c r="N170" s="20"/>
      <x:c r="O170" s="20"/>
      <x:c r="P170" s="20"/>
      <x:c r="Q170" s="20"/>
      <x:c r="R170" s="20"/>
      <x:c r="S170" s="20"/>
      <x:c r="T170" s="20"/>
      <x:c r="U170" s="20"/>
      <x:c r="V170" s="20"/>
      <x:c r="W170" s="20"/>
      <x:c r="X170" s="20"/>
      <x:c r="Y170" s="20"/>
      <x:c r="Z170" s="20"/>
    </x:row>
    <x:row r="171">
      <x:c r="A171" s="20"/>
      <x:c r="B171" s="20"/>
      <x:c r="C171" s="20"/>
      <x:c r="D171" s="20"/>
      <x:c r="E171" s="20"/>
      <x:c r="F171" s="20"/>
      <x:c r="G171" s="20"/>
      <x:c r="H171" s="20"/>
      <x:c r="I171" s="20"/>
      <x:c r="J171" s="20"/>
      <x:c r="K171" s="20"/>
      <x:c r="L171" s="20"/>
      <x:c r="M171" s="20"/>
      <x:c r="N171" s="20"/>
      <x:c r="O171" s="20"/>
      <x:c r="P171" s="20"/>
      <x:c r="Q171" s="20"/>
      <x:c r="R171" s="20"/>
      <x:c r="S171" s="20"/>
      <x:c r="T171" s="20"/>
      <x:c r="U171" s="20"/>
      <x:c r="V171" s="20"/>
      <x:c r="W171" s="20"/>
      <x:c r="X171" s="20"/>
      <x:c r="Y171" s="20"/>
      <x:c r="Z171" s="20"/>
    </x:row>
    <x:row r="172">
      <x:c r="A172" s="20"/>
      <x:c r="B172" s="20"/>
      <x:c r="C172" s="20"/>
      <x:c r="D172" s="20"/>
      <x:c r="E172" s="20"/>
      <x:c r="F172" s="20"/>
      <x:c r="G172" s="20"/>
      <x:c r="H172" s="20"/>
      <x:c r="I172" s="20"/>
      <x:c r="J172" s="20"/>
      <x:c r="K172" s="20"/>
      <x:c r="L172" s="20"/>
      <x:c r="M172" s="20"/>
      <x:c r="N172" s="20"/>
      <x:c r="O172" s="20"/>
      <x:c r="P172" s="20"/>
      <x:c r="Q172" s="20"/>
      <x:c r="R172" s="20"/>
      <x:c r="S172" s="20"/>
      <x:c r="T172" s="20"/>
      <x:c r="U172" s="20"/>
      <x:c r="V172" s="20"/>
      <x:c r="W172" s="20"/>
      <x:c r="X172" s="20"/>
      <x:c r="Y172" s="20"/>
      <x:c r="Z172" s="20"/>
    </x:row>
    <x:row r="173">
      <x:c r="A173" s="20"/>
      <x:c r="B173" s="20"/>
      <x:c r="C173" s="20"/>
      <x:c r="D173" s="20"/>
      <x:c r="E173" s="20"/>
      <x:c r="F173" s="20"/>
      <x:c r="G173" s="20"/>
      <x:c r="H173" s="20"/>
      <x:c r="I173" s="20"/>
      <x:c r="J173" s="20"/>
      <x:c r="K173" s="20"/>
      <x:c r="L173" s="20"/>
      <x:c r="M173" s="20"/>
      <x:c r="N173" s="20"/>
      <x:c r="O173" s="20"/>
      <x:c r="P173" s="20"/>
      <x:c r="Q173" s="20"/>
      <x:c r="R173" s="20"/>
      <x:c r="S173" s="20"/>
      <x:c r="T173" s="20"/>
      <x:c r="U173" s="20"/>
      <x:c r="V173" s="20"/>
      <x:c r="W173" s="20"/>
      <x:c r="X173" s="20"/>
      <x:c r="Y173" s="20"/>
      <x:c r="Z173" s="20"/>
    </x:row>
    <x:row r="174">
      <x:c r="A174" s="20"/>
      <x:c r="B174" s="20"/>
      <x:c r="C174" s="20"/>
      <x:c r="D174" s="20"/>
      <x:c r="E174" s="20"/>
      <x:c r="F174" s="20"/>
      <x:c r="G174" s="20"/>
      <x:c r="H174" s="20"/>
      <x:c r="I174" s="20"/>
      <x:c r="J174" s="20"/>
      <x:c r="K174" s="20"/>
      <x:c r="L174" s="20"/>
      <x:c r="M174" s="20"/>
      <x:c r="N174" s="20"/>
      <x:c r="O174" s="20"/>
      <x:c r="P174" s="20"/>
      <x:c r="Q174" s="20"/>
      <x:c r="R174" s="20"/>
      <x:c r="S174" s="20"/>
      <x:c r="T174" s="20"/>
      <x:c r="U174" s="20"/>
      <x:c r="V174" s="20"/>
      <x:c r="W174" s="20"/>
      <x:c r="X174" s="20"/>
      <x:c r="Y174" s="20"/>
      <x:c r="Z174" s="20"/>
    </x:row>
    <x:row r="175">
      <x:c r="A175" s="20"/>
      <x:c r="B175" s="20"/>
      <x:c r="C175" s="20"/>
      <x:c r="D175" s="20"/>
      <x:c r="E175" s="20"/>
      <x:c r="F175" s="20"/>
      <x:c r="G175" s="20"/>
      <x:c r="H175" s="20"/>
      <x:c r="I175" s="20"/>
      <x:c r="J175" s="20"/>
      <x:c r="K175" s="20"/>
      <x:c r="L175" s="20"/>
      <x:c r="M175" s="20"/>
      <x:c r="N175" s="20"/>
      <x:c r="O175" s="20"/>
      <x:c r="P175" s="20"/>
      <x:c r="Q175" s="20"/>
      <x:c r="R175" s="20"/>
      <x:c r="S175" s="20"/>
      <x:c r="T175" s="20"/>
      <x:c r="U175" s="20"/>
      <x:c r="V175" s="20"/>
      <x:c r="W175" s="20"/>
      <x:c r="X175" s="20"/>
      <x:c r="Y175" s="20"/>
      <x:c r="Z175" s="20"/>
    </x:row>
    <x:row r="176">
      <x:c r="A176" s="20"/>
      <x:c r="B176" s="20"/>
      <x:c r="C176" s="20"/>
      <x:c r="D176" s="20"/>
      <x:c r="E176" s="20"/>
      <x:c r="F176" s="20"/>
      <x:c r="G176" s="20"/>
      <x:c r="H176" s="20"/>
      <x:c r="I176" s="20"/>
      <x:c r="J176" s="20"/>
      <x:c r="K176" s="20"/>
      <x:c r="L176" s="20"/>
      <x:c r="M176" s="20"/>
      <x:c r="N176" s="20"/>
      <x:c r="O176" s="20"/>
      <x:c r="P176" s="20"/>
      <x:c r="Q176" s="20"/>
      <x:c r="R176" s="20"/>
      <x:c r="S176" s="20"/>
      <x:c r="T176" s="20"/>
      <x:c r="U176" s="20"/>
      <x:c r="V176" s="20"/>
      <x:c r="W176" s="20"/>
      <x:c r="X176" s="20"/>
      <x:c r="Y176" s="20"/>
      <x:c r="Z176" s="20"/>
    </x:row>
    <x:row r="177">
      <x:c r="A177" s="20"/>
      <x:c r="B177" s="20"/>
      <x:c r="C177" s="20"/>
      <x:c r="D177" s="20"/>
      <x:c r="E177" s="20"/>
      <x:c r="F177" s="20"/>
      <x:c r="G177" s="20"/>
      <x:c r="H177" s="20"/>
      <x:c r="I177" s="20"/>
      <x:c r="J177" s="20"/>
      <x:c r="K177" s="20"/>
      <x:c r="L177" s="20"/>
      <x:c r="M177" s="20"/>
      <x:c r="N177" s="20"/>
      <x:c r="O177" s="20"/>
      <x:c r="P177" s="20"/>
      <x:c r="Q177" s="20"/>
      <x:c r="R177" s="20"/>
      <x:c r="S177" s="20"/>
      <x:c r="T177" s="20"/>
      <x:c r="U177" s="20"/>
      <x:c r="V177" s="20"/>
      <x:c r="W177" s="20"/>
      <x:c r="X177" s="20"/>
      <x:c r="Y177" s="20"/>
      <x:c r="Z177" s="20"/>
    </x:row>
    <x:row r="178">
      <x:c r="A178" s="20"/>
      <x:c r="B178" s="20"/>
      <x:c r="C178" s="20"/>
      <x:c r="D178" s="20"/>
      <x:c r="E178" s="20"/>
      <x:c r="F178" s="20"/>
      <x:c r="G178" s="20"/>
      <x:c r="H178" s="20"/>
      <x:c r="I178" s="20"/>
      <x:c r="J178" s="20"/>
      <x:c r="K178" s="20"/>
      <x:c r="L178" s="20"/>
      <x:c r="M178" s="20"/>
      <x:c r="N178" s="20"/>
      <x:c r="O178" s="20"/>
      <x:c r="P178" s="20"/>
      <x:c r="Q178" s="20"/>
      <x:c r="R178" s="20"/>
      <x:c r="S178" s="20"/>
      <x:c r="T178" s="20"/>
      <x:c r="U178" s="20"/>
      <x:c r="V178" s="20"/>
      <x:c r="W178" s="20"/>
      <x:c r="X178" s="20"/>
      <x:c r="Y178" s="20"/>
      <x:c r="Z178" s="20"/>
    </x:row>
    <x:row r="179">
      <x:c r="A179" s="20"/>
      <x:c r="B179" s="20"/>
      <x:c r="C179" s="20"/>
      <x:c r="D179" s="20"/>
      <x:c r="E179" s="20"/>
      <x:c r="F179" s="20"/>
      <x:c r="G179" s="20"/>
      <x:c r="H179" s="20"/>
      <x:c r="I179" s="20"/>
      <x:c r="J179" s="20"/>
      <x:c r="K179" s="20"/>
      <x:c r="L179" s="20"/>
      <x:c r="M179" s="20"/>
      <x:c r="N179" s="20"/>
      <x:c r="O179" s="20"/>
      <x:c r="P179" s="20"/>
      <x:c r="Q179" s="20"/>
      <x:c r="R179" s="20"/>
      <x:c r="S179" s="20"/>
      <x:c r="T179" s="20"/>
      <x:c r="U179" s="20"/>
      <x:c r="V179" s="20"/>
      <x:c r="W179" s="20"/>
      <x:c r="X179" s="20"/>
      <x:c r="Y179" s="20"/>
      <x:c r="Z179" s="20"/>
    </x:row>
    <x:row r="180">
      <x:c r="A180" s="20"/>
      <x:c r="B180" s="20"/>
      <x:c r="C180" s="20"/>
      <x:c r="D180" s="20"/>
      <x:c r="E180" s="20"/>
      <x:c r="F180" s="20"/>
      <x:c r="G180" s="20"/>
      <x:c r="H180" s="20"/>
      <x:c r="I180" s="20"/>
      <x:c r="J180" s="20"/>
      <x:c r="K180" s="20"/>
      <x:c r="L180" s="20"/>
      <x:c r="M180" s="20"/>
      <x:c r="N180" s="20"/>
      <x:c r="O180" s="20"/>
      <x:c r="P180" s="20"/>
      <x:c r="Q180" s="20"/>
      <x:c r="R180" s="20"/>
      <x:c r="S180" s="20"/>
      <x:c r="T180" s="20"/>
      <x:c r="U180" s="20"/>
      <x:c r="V180" s="20"/>
      <x:c r="W180" s="20"/>
      <x:c r="X180" s="20"/>
      <x:c r="Y180" s="20"/>
      <x:c r="Z180" s="20"/>
    </x:row>
    <x:row r="181">
      <x:c r="A181" s="20"/>
      <x:c r="B181" s="20"/>
      <x:c r="C181" s="20"/>
      <x:c r="D181" s="20"/>
      <x:c r="E181" s="20"/>
      <x:c r="F181" s="20"/>
      <x:c r="G181" s="20"/>
      <x:c r="H181" s="20"/>
      <x:c r="I181" s="20"/>
      <x:c r="J181" s="20"/>
      <x:c r="K181" s="20"/>
      <x:c r="L181" s="20"/>
      <x:c r="M181" s="20"/>
      <x:c r="N181" s="20"/>
      <x:c r="O181" s="20"/>
      <x:c r="P181" s="20"/>
      <x:c r="Q181" s="20"/>
      <x:c r="R181" s="20"/>
      <x:c r="S181" s="20"/>
      <x:c r="T181" s="20"/>
      <x:c r="U181" s="20"/>
      <x:c r="V181" s="20"/>
      <x:c r="W181" s="20"/>
      <x:c r="X181" s="20"/>
      <x:c r="Y181" s="20"/>
      <x:c r="Z181" s="20"/>
    </x:row>
    <x:row r="182">
      <x:c r="A182" s="20"/>
      <x:c r="B182" s="20"/>
      <x:c r="C182" s="20"/>
      <x:c r="D182" s="20"/>
      <x:c r="E182" s="20"/>
      <x:c r="F182" s="20"/>
      <x:c r="G182" s="20"/>
      <x:c r="H182" s="20"/>
      <x:c r="I182" s="20"/>
      <x:c r="J182" s="20"/>
      <x:c r="K182" s="20"/>
      <x:c r="L182" s="20"/>
      <x:c r="M182" s="20"/>
      <x:c r="N182" s="20"/>
      <x:c r="O182" s="20"/>
      <x:c r="P182" s="20"/>
      <x:c r="Q182" s="20"/>
      <x:c r="R182" s="20"/>
      <x:c r="S182" s="20"/>
      <x:c r="T182" s="20"/>
      <x:c r="U182" s="20"/>
      <x:c r="V182" s="20"/>
      <x:c r="W182" s="20"/>
      <x:c r="X182" s="20"/>
      <x:c r="Y182" s="20"/>
      <x:c r="Z182" s="20"/>
    </x:row>
    <x:row r="183">
      <x:c r="A183" s="20"/>
      <x:c r="B183" s="20"/>
      <x:c r="C183" s="20"/>
      <x:c r="D183" s="20"/>
      <x:c r="E183" s="20"/>
      <x:c r="F183" s="20"/>
      <x:c r="G183" s="20"/>
      <x:c r="H183" s="20"/>
      <x:c r="I183" s="20"/>
      <x:c r="J183" s="20"/>
      <x:c r="K183" s="20"/>
      <x:c r="L183" s="20"/>
      <x:c r="M183" s="20"/>
      <x:c r="N183" s="20"/>
      <x:c r="O183" s="20"/>
      <x:c r="P183" s="20"/>
      <x:c r="Q183" s="20"/>
      <x:c r="R183" s="20"/>
      <x:c r="S183" s="20"/>
      <x:c r="T183" s="20"/>
      <x:c r="U183" s="20"/>
      <x:c r="V183" s="20"/>
      <x:c r="W183" s="20"/>
      <x:c r="X183" s="20"/>
      <x:c r="Y183" s="20"/>
      <x:c r="Z183" s="20"/>
    </x:row>
    <x:row r="184">
      <x:c r="A184" s="20"/>
      <x:c r="B184" s="20"/>
      <x:c r="C184" s="20"/>
      <x:c r="D184" s="20"/>
      <x:c r="E184" s="20"/>
      <x:c r="F184" s="20"/>
      <x:c r="G184" s="20"/>
      <x:c r="H184" s="20"/>
      <x:c r="I184" s="20"/>
      <x:c r="J184" s="20"/>
      <x:c r="K184" s="20"/>
      <x:c r="L184" s="20"/>
      <x:c r="M184" s="20"/>
      <x:c r="N184" s="20"/>
      <x:c r="O184" s="20"/>
      <x:c r="P184" s="20"/>
      <x:c r="Q184" s="20"/>
      <x:c r="R184" s="20"/>
      <x:c r="S184" s="20"/>
      <x:c r="T184" s="20"/>
      <x:c r="U184" s="20"/>
      <x:c r="V184" s="20"/>
      <x:c r="W184" s="20"/>
      <x:c r="X184" s="20"/>
      <x:c r="Y184" s="20"/>
      <x:c r="Z184" s="20"/>
    </x:row>
    <x:row r="185">
      <x:c r="A185" s="20"/>
      <x:c r="B185" s="20"/>
      <x:c r="C185" s="20"/>
      <x:c r="D185" s="20"/>
      <x:c r="E185" s="20"/>
      <x:c r="F185" s="20"/>
      <x:c r="G185" s="20"/>
      <x:c r="H185" s="20"/>
      <x:c r="I185" s="20"/>
      <x:c r="J185" s="20"/>
      <x:c r="K185" s="20"/>
      <x:c r="L185" s="20"/>
      <x:c r="M185" s="20"/>
      <x:c r="N185" s="20"/>
      <x:c r="O185" s="20"/>
      <x:c r="P185" s="20"/>
      <x:c r="Q185" s="20"/>
      <x:c r="R185" s="20"/>
      <x:c r="S185" s="20"/>
      <x:c r="T185" s="20"/>
      <x:c r="U185" s="20"/>
      <x:c r="V185" s="20"/>
      <x:c r="W185" s="20"/>
      <x:c r="X185" s="20"/>
      <x:c r="Y185" s="20"/>
      <x:c r="Z185" s="20"/>
    </x:row>
    <x:row r="186">
      <x:c r="A186" s="20"/>
      <x:c r="B186" s="20"/>
      <x:c r="C186" s="20"/>
      <x:c r="D186" s="20"/>
      <x:c r="E186" s="20"/>
      <x:c r="F186" s="20"/>
      <x:c r="G186" s="20"/>
      <x:c r="H186" s="20"/>
      <x:c r="I186" s="20"/>
      <x:c r="J186" s="20"/>
      <x:c r="K186" s="20"/>
      <x:c r="L186" s="20"/>
      <x:c r="M186" s="20"/>
      <x:c r="N186" s="20"/>
      <x:c r="O186" s="20"/>
      <x:c r="P186" s="20"/>
      <x:c r="Q186" s="20"/>
      <x:c r="R186" s="20"/>
      <x:c r="S186" s="20"/>
      <x:c r="T186" s="20"/>
      <x:c r="U186" s="20"/>
      <x:c r="V186" s="20"/>
      <x:c r="W186" s="20"/>
      <x:c r="X186" s="20"/>
      <x:c r="Y186" s="20"/>
      <x:c r="Z186" s="20"/>
    </x:row>
    <x:row r="187">
      <x:c r="A187" s="20"/>
      <x:c r="B187" s="20"/>
      <x:c r="C187" s="20"/>
      <x:c r="D187" s="20"/>
      <x:c r="E187" s="20"/>
      <x:c r="F187" s="20"/>
      <x:c r="G187" s="20"/>
      <x:c r="H187" s="20"/>
      <x:c r="I187" s="20"/>
      <x:c r="J187" s="20"/>
      <x:c r="K187" s="20"/>
      <x:c r="L187" s="20"/>
      <x:c r="M187" s="20"/>
      <x:c r="N187" s="20"/>
      <x:c r="O187" s="20"/>
      <x:c r="P187" s="20"/>
      <x:c r="Q187" s="20"/>
      <x:c r="R187" s="20"/>
      <x:c r="S187" s="20"/>
      <x:c r="T187" s="20"/>
      <x:c r="U187" s="20"/>
      <x:c r="V187" s="20"/>
      <x:c r="W187" s="20"/>
      <x:c r="X187" s="20"/>
      <x:c r="Y187" s="20"/>
      <x:c r="Z187" s="20"/>
    </x:row>
    <x:row r="188">
      <x:c r="A188" s="20"/>
      <x:c r="B188" s="20"/>
      <x:c r="C188" s="20"/>
      <x:c r="D188" s="20"/>
      <x:c r="E188" s="20"/>
      <x:c r="F188" s="20"/>
      <x:c r="G188" s="20"/>
      <x:c r="H188" s="20"/>
      <x:c r="I188" s="20"/>
      <x:c r="J188" s="20"/>
      <x:c r="K188" s="20"/>
      <x:c r="L188" s="20"/>
      <x:c r="M188" s="20"/>
      <x:c r="N188" s="20"/>
      <x:c r="O188" s="20"/>
      <x:c r="P188" s="20"/>
      <x:c r="Q188" s="20"/>
      <x:c r="R188" s="20"/>
      <x:c r="S188" s="20"/>
      <x:c r="T188" s="20"/>
      <x:c r="U188" s="20"/>
      <x:c r="V188" s="20"/>
      <x:c r="W188" s="20"/>
      <x:c r="X188" s="20"/>
      <x:c r="Y188" s="20"/>
      <x:c r="Z188" s="20"/>
    </x:row>
    <x:row r="189">
      <x:c r="A189" s="20"/>
      <x:c r="B189" s="20"/>
      <x:c r="C189" s="20"/>
      <x:c r="D189" s="20"/>
      <x:c r="E189" s="20"/>
      <x:c r="F189" s="20"/>
      <x:c r="G189" s="20"/>
      <x:c r="H189" s="20"/>
      <x:c r="I189" s="20"/>
      <x:c r="J189" s="20"/>
      <x:c r="K189" s="20"/>
      <x:c r="L189" s="20"/>
      <x:c r="M189" s="20"/>
      <x:c r="N189" s="20"/>
      <x:c r="O189" s="20"/>
      <x:c r="P189" s="20"/>
      <x:c r="Q189" s="20"/>
      <x:c r="R189" s="20"/>
      <x:c r="S189" s="20"/>
      <x:c r="T189" s="20"/>
      <x:c r="U189" s="20"/>
      <x:c r="V189" s="20"/>
      <x:c r="W189" s="20"/>
      <x:c r="X189" s="20"/>
      <x:c r="Y189" s="20"/>
      <x:c r="Z189" s="20"/>
    </x:row>
    <x:row r="190">
      <x:c r="A190" s="20"/>
      <x:c r="B190" s="20"/>
      <x:c r="C190" s="20"/>
      <x:c r="D190" s="20"/>
      <x:c r="E190" s="20"/>
      <x:c r="F190" s="20"/>
      <x:c r="G190" s="20"/>
      <x:c r="H190" s="20"/>
      <x:c r="I190" s="20"/>
      <x:c r="J190" s="20"/>
      <x:c r="K190" s="20"/>
      <x:c r="L190" s="20"/>
      <x:c r="M190" s="20"/>
      <x:c r="N190" s="20"/>
      <x:c r="O190" s="20"/>
      <x:c r="P190" s="20"/>
      <x:c r="Q190" s="20"/>
      <x:c r="R190" s="20"/>
      <x:c r="S190" s="20"/>
      <x:c r="T190" s="20"/>
      <x:c r="U190" s="20"/>
      <x:c r="V190" s="20"/>
      <x:c r="W190" s="20"/>
      <x:c r="X190" s="20"/>
      <x:c r="Y190" s="20"/>
      <x:c r="Z190" s="20"/>
    </x:row>
    <x:row r="191">
      <x:c r="A191" s="20"/>
      <x:c r="B191" s="20"/>
      <x:c r="C191" s="20"/>
      <x:c r="D191" s="20"/>
      <x:c r="E191" s="20"/>
      <x:c r="F191" s="20"/>
      <x:c r="G191" s="20"/>
      <x:c r="H191" s="20"/>
      <x:c r="I191" s="20"/>
      <x:c r="J191" s="20"/>
      <x:c r="K191" s="20"/>
      <x:c r="L191" s="20"/>
      <x:c r="M191" s="20"/>
      <x:c r="N191" s="20"/>
      <x:c r="O191" s="20"/>
      <x:c r="P191" s="20"/>
      <x:c r="Q191" s="20"/>
      <x:c r="R191" s="20"/>
      <x:c r="S191" s="20"/>
      <x:c r="T191" s="20"/>
      <x:c r="U191" s="20"/>
      <x:c r="V191" s="20"/>
      <x:c r="W191" s="20"/>
      <x:c r="X191" s="20"/>
      <x:c r="Y191" s="20"/>
      <x:c r="Z191" s="20"/>
    </x:row>
    <x:row r="192">
      <x:c r="A192" s="20"/>
      <x:c r="B192" s="20"/>
      <x:c r="C192" s="20"/>
      <x:c r="D192" s="20"/>
      <x:c r="E192" s="20"/>
      <x:c r="F192" s="20"/>
      <x:c r="G192" s="20"/>
      <x:c r="H192" s="20"/>
      <x:c r="I192" s="20"/>
      <x:c r="J192" s="20"/>
      <x:c r="K192" s="20"/>
      <x:c r="L192" s="20"/>
      <x:c r="M192" s="20"/>
      <x:c r="N192" s="20"/>
      <x:c r="O192" s="20"/>
      <x:c r="P192" s="20"/>
      <x:c r="Q192" s="20"/>
      <x:c r="R192" s="20"/>
      <x:c r="S192" s="20"/>
      <x:c r="T192" s="20"/>
      <x:c r="U192" s="20"/>
      <x:c r="V192" s="20"/>
      <x:c r="W192" s="20"/>
      <x:c r="X192" s="20"/>
      <x:c r="Y192" s="20"/>
      <x:c r="Z192" s="20"/>
    </x:row>
    <x:row r="193">
      <x:c r="A193" s="20"/>
      <x:c r="B193" s="20"/>
      <x:c r="C193" s="20"/>
      <x:c r="D193" s="20"/>
      <x:c r="E193" s="20"/>
      <x:c r="F193" s="20"/>
      <x:c r="G193" s="20"/>
      <x:c r="H193" s="20"/>
      <x:c r="I193" s="20"/>
      <x:c r="J193" s="20"/>
      <x:c r="K193" s="20"/>
      <x:c r="L193" s="20"/>
      <x:c r="M193" s="20"/>
      <x:c r="N193" s="20"/>
      <x:c r="O193" s="20"/>
      <x:c r="P193" s="20"/>
      <x:c r="Q193" s="20"/>
      <x:c r="R193" s="20"/>
      <x:c r="S193" s="20"/>
      <x:c r="T193" s="20"/>
      <x:c r="U193" s="20"/>
      <x:c r="V193" s="20"/>
      <x:c r="W193" s="20"/>
      <x:c r="X193" s="20"/>
      <x:c r="Y193" s="20"/>
      <x:c r="Z193" s="20"/>
    </x:row>
    <x:row r="194">
      <x:c r="A194" s="20"/>
      <x:c r="B194" s="20"/>
      <x:c r="C194" s="20"/>
      <x:c r="D194" s="20"/>
      <x:c r="E194" s="20"/>
      <x:c r="F194" s="20"/>
      <x:c r="G194" s="20"/>
      <x:c r="H194" s="20"/>
      <x:c r="I194" s="20"/>
      <x:c r="J194" s="20"/>
      <x:c r="K194" s="20"/>
      <x:c r="L194" s="20"/>
      <x:c r="M194" s="20"/>
      <x:c r="N194" s="20"/>
      <x:c r="O194" s="20"/>
      <x:c r="P194" s="20"/>
      <x:c r="Q194" s="20"/>
      <x:c r="R194" s="20"/>
      <x:c r="S194" s="20"/>
      <x:c r="T194" s="20"/>
      <x:c r="U194" s="20"/>
      <x:c r="V194" s="20"/>
      <x:c r="W194" s="20"/>
      <x:c r="X194" s="20"/>
      <x:c r="Y194" s="20"/>
      <x:c r="Z194" s="20"/>
    </x:row>
    <x:row r="195">
      <x:c r="A195" s="20"/>
      <x:c r="B195" s="20"/>
      <x:c r="C195" s="20"/>
      <x:c r="D195" s="20"/>
      <x:c r="E195" s="20"/>
      <x:c r="F195" s="20"/>
      <x:c r="G195" s="20"/>
      <x:c r="H195" s="20"/>
      <x:c r="I195" s="20"/>
      <x:c r="J195" s="20"/>
      <x:c r="K195" s="20"/>
      <x:c r="L195" s="20"/>
      <x:c r="M195" s="20"/>
      <x:c r="N195" s="20"/>
      <x:c r="O195" s="20"/>
      <x:c r="P195" s="20"/>
      <x:c r="Q195" s="20"/>
      <x:c r="R195" s="20"/>
      <x:c r="S195" s="20"/>
      <x:c r="T195" s="20"/>
      <x:c r="U195" s="20"/>
      <x:c r="V195" s="20"/>
      <x:c r="W195" s="20"/>
      <x:c r="X195" s="20"/>
      <x:c r="Y195" s="20"/>
      <x:c r="Z195" s="20"/>
    </x:row>
    <x:row r="196">
      <x:c r="A196" s="20"/>
      <x:c r="B196" s="20"/>
      <x:c r="C196" s="20"/>
      <x:c r="D196" s="20"/>
      <x:c r="E196" s="20"/>
      <x:c r="F196" s="20"/>
      <x:c r="G196" s="20"/>
      <x:c r="H196" s="20"/>
      <x:c r="I196" s="20"/>
      <x:c r="J196" s="20"/>
      <x:c r="K196" s="20"/>
      <x:c r="L196" s="20"/>
      <x:c r="M196" s="20"/>
      <x:c r="N196" s="20"/>
      <x:c r="O196" s="20"/>
      <x:c r="P196" s="20"/>
      <x:c r="Q196" s="20"/>
      <x:c r="R196" s="20"/>
      <x:c r="S196" s="20"/>
      <x:c r="T196" s="20"/>
      <x:c r="U196" s="20"/>
      <x:c r="V196" s="20"/>
      <x:c r="W196" s="20"/>
      <x:c r="X196" s="20"/>
      <x:c r="Y196" s="20"/>
      <x:c r="Z196" s="20"/>
    </x:row>
    <x:row r="197">
      <x:c r="A197" s="20"/>
      <x:c r="B197" s="20"/>
      <x:c r="C197" s="20"/>
      <x:c r="D197" s="20"/>
      <x:c r="E197" s="20"/>
      <x:c r="F197" s="20"/>
      <x:c r="G197" s="20"/>
      <x:c r="H197" s="20"/>
      <x:c r="I197" s="20"/>
      <x:c r="J197" s="20"/>
      <x:c r="K197" s="20"/>
      <x:c r="L197" s="20"/>
      <x:c r="M197" s="20"/>
      <x:c r="N197" s="20"/>
      <x:c r="O197" s="20"/>
      <x:c r="P197" s="20"/>
      <x:c r="Q197" s="20"/>
      <x:c r="R197" s="20"/>
      <x:c r="S197" s="20"/>
      <x:c r="T197" s="20"/>
      <x:c r="U197" s="20"/>
      <x:c r="V197" s="20"/>
      <x:c r="W197" s="20"/>
      <x:c r="X197" s="20"/>
      <x:c r="Y197" s="20"/>
      <x:c r="Z197" s="20"/>
    </x:row>
    <x:row r="198">
      <x:c r="A198" s="20"/>
      <x:c r="B198" s="20"/>
      <x:c r="C198" s="20"/>
      <x:c r="D198" s="20"/>
      <x:c r="E198" s="20"/>
      <x:c r="F198" s="20"/>
      <x:c r="G198" s="20"/>
      <x:c r="H198" s="20"/>
      <x:c r="I198" s="20"/>
      <x:c r="J198" s="20"/>
      <x:c r="K198" s="20"/>
      <x:c r="L198" s="20"/>
      <x:c r="M198" s="20"/>
      <x:c r="N198" s="20"/>
      <x:c r="O198" s="20"/>
      <x:c r="P198" s="20"/>
      <x:c r="Q198" s="20"/>
      <x:c r="R198" s="20"/>
      <x:c r="S198" s="20"/>
      <x:c r="T198" s="20"/>
      <x:c r="U198" s="20"/>
      <x:c r="V198" s="20"/>
      <x:c r="W198" s="20"/>
      <x:c r="X198" s="20"/>
      <x:c r="Y198" s="20"/>
      <x:c r="Z198" s="20"/>
    </x:row>
    <x:row r="199">
      <x:c r="A199" s="20"/>
      <x:c r="B199" s="20"/>
      <x:c r="C199" s="20"/>
      <x:c r="D199" s="20"/>
      <x:c r="E199" s="20"/>
      <x:c r="F199" s="20"/>
      <x:c r="G199" s="20"/>
      <x:c r="H199" s="20"/>
      <x:c r="I199" s="20"/>
      <x:c r="J199" s="20"/>
      <x:c r="K199" s="20"/>
      <x:c r="L199" s="20"/>
      <x:c r="M199" s="20"/>
      <x:c r="N199" s="20"/>
      <x:c r="O199" s="20"/>
      <x:c r="P199" s="20"/>
      <x:c r="Q199" s="20"/>
      <x:c r="R199" s="20"/>
      <x:c r="S199" s="20"/>
      <x:c r="T199" s="20"/>
      <x:c r="U199" s="20"/>
      <x:c r="V199" s="20"/>
      <x:c r="W199" s="20"/>
      <x:c r="X199" s="20"/>
      <x:c r="Y199" s="20"/>
      <x:c r="Z199" s="20"/>
    </x:row>
    <x:row r="200">
      <x:c r="A200" s="20"/>
      <x:c r="B200" s="20"/>
      <x:c r="C200" s="20"/>
      <x:c r="D200" s="20"/>
      <x:c r="E200" s="20"/>
      <x:c r="F200" s="20"/>
      <x:c r="G200" s="20"/>
      <x:c r="H200" s="20"/>
      <x:c r="I200" s="20"/>
      <x:c r="J200" s="20"/>
      <x:c r="K200" s="20"/>
      <x:c r="L200" s="20"/>
      <x:c r="M200" s="20"/>
      <x:c r="N200" s="20"/>
      <x:c r="O200" s="20"/>
      <x:c r="P200" s="20"/>
      <x:c r="Q200" s="20"/>
      <x:c r="R200" s="20"/>
      <x:c r="S200" s="20"/>
      <x:c r="T200" s="20"/>
      <x:c r="U200" s="20"/>
      <x:c r="V200" s="20"/>
      <x:c r="W200" s="20"/>
      <x:c r="X200" s="20"/>
      <x:c r="Y200" s="20"/>
      <x:c r="Z200" s="20"/>
    </x:row>
  </x:sheetData>
  <x:pageMargins left="0.7" right="0.7" top="0.75" bottom="0.75" header="0.3" footer="0.3"/>
  <x:tableParts count="1">
    <x:tablePart xmlns:r="http://schemas.openxmlformats.org/officeDocument/2006/relationships" r:id="Re05eae6c4279446b"/>
  </x:tableParts>
</x:worksheet>
</file>

<file path=xl/worksheets/sheet3.xml><?xml version="1.0" encoding="utf-8"?>
<x:worksheet xmlns:x="http://schemas.openxmlformats.org/spreadsheetml/2006/main">
  <x:sheetFormatPr defaultRowHeight="15"/>
  <x:cols>
    <x:col min="1" max="1" width="38" hidden="0" customWidth="1"/>
    <x:col min="2" max="2" width="13" hidden="0" customWidth="1"/>
    <x:col min="3" max="3" width="14" hidden="0" customWidth="1"/>
    <x:col min="4" max="4" width="14" hidden="0" customWidth="1"/>
    <x:col min="5" max="5" width="14" hidden="0" customWidth="1"/>
    <x:col min="6" max="6" width="12" hidden="0" customWidth="1"/>
    <x:col min="7" max="7" width="46" hidden="0" customWidth="1"/>
  </x:cols>
  <x:sheetData>
    <x:row r="1">
      <x:c r="A1" s="6" t="str">
        <x:v>Variable</x:v>
      </x:c>
      <x:c r="B1" s="6" t="str">
        <x:v>Baseline Date</x:v>
      </x:c>
      <x:c r="C1" s="6" t="str">
        <x:v>Baseline Value</x:v>
      </x:c>
      <x:c r="D1" s="6" t="str">
        <x:v>Latest Date</x:v>
      </x:c>
      <x:c r="E1" s="6" t="str">
        <x:v>Latest Value</x:v>
      </x:c>
      <x:c r="F1" s="6" t="str">
        <x:v>% Change</x:v>
      </x:c>
      <x:c r="G1" s="6" t="str">
        <x:v>Interpretation / Status</x:v>
      </x:c>
      <x:c r="H1" s="20"/>
      <x:c r="I1" s="20"/>
      <x:c r="J1" s="20"/>
      <x:c r="K1" s="20"/>
      <x:c r="L1" s="20"/>
      <x:c r="M1" s="20"/>
      <x:c r="N1" s="20"/>
      <x:c r="O1" s="20"/>
      <x:c r="P1" s="20"/>
      <x:c r="Q1" s="20"/>
      <x:c r="R1" s="20"/>
      <x:c r="S1" s="20"/>
      <x:c r="T1" s="20"/>
      <x:c r="U1" s="20"/>
      <x:c r="V1" s="20"/>
      <x:c r="W1" s="20"/>
      <x:c r="X1" s="20"/>
      <x:c r="Y1" s="20"/>
      <x:c r="Z1" s="20"/>
    </x:row>
    <x:row r="2">
      <x:c r="A2" s="20" t="str">
        <x:v>Marvel Legends standard MSRP</x:v>
      </x:c>
      <x:c r="B2" s="21" t="n">
        <x:v>43466</x:v>
      </x:c>
      <x:c r="C2" s="22" t="n">
        <x:v>19.99</x:v>
      </x:c>
      <x:c r="D2" s="21" t="n">
        <x:v>46266</x:v>
      </x:c>
      <x:c r="E2" s="22" t="n">
        <x:v>27.99</x:v>
      </x:c>
      <x:c r="F2" s="23" t="n">
        <x:f>(E2/C2)-1</x:f>
        <x:v>0.40020010005002504</x:v>
      </x:c>
      <x:c r="G2" s="20" t="str">
        <x:v>Standard-price benchmark; MSRP transition dates are tracked separately.</x:v>
      </x:c>
      <x:c r="H2" s="20"/>
      <x:c r="I2" s="20"/>
      <x:c r="J2" s="20"/>
      <x:c r="K2" s="20"/>
      <x:c r="L2" s="20"/>
      <x:c r="M2" s="20"/>
      <x:c r="N2" s="20"/>
      <x:c r="O2" s="20"/>
      <x:c r="P2" s="20"/>
      <x:c r="Q2" s="20"/>
      <x:c r="R2" s="20"/>
      <x:c r="S2" s="20"/>
      <x:c r="T2" s="20"/>
      <x:c r="U2" s="20"/>
      <x:c r="V2" s="20"/>
      <x:c r="W2" s="20"/>
      <x:c r="X2" s="20"/>
      <x:c r="Y2" s="20"/>
      <x:c r="Z2" s="20"/>
    </x:row>
    <x:row r="3">
      <x:c r="A3" s="20" t="str">
        <x:v>Thermoplastic resins / plastics materials (WPU0662)</x:v>
      </x:c>
      <x:c r="B3" s="21" t="n">
        <x:v>43466</x:v>
      </x:c>
      <x:c r="C3" s="22" t="n">
        <x:v>237.9</x:v>
      </x:c>
      <x:c r="D3" s="21" t="n">
        <x:v>46235</x:v>
      </x:c>
      <x:c r="E3" s="22" t="n">
        <x:v>283.105</x:v>
      </x:c>
      <x:c r="F3" s="23" t="n">
        <x:f>(E3/C3)-1</x:f>
        <x:v>0.19001681378730573</x:v>
      </x:c>
      <x:c r="G3" s="20" t="str">
        <x:v>Broad plastics input proxy; not Hasbro procurement cost.</x:v>
      </x:c>
      <x:c r="H3" s="20"/>
      <x:c r="I3" s="20"/>
      <x:c r="J3" s="20"/>
      <x:c r="K3" s="20"/>
      <x:c r="L3" s="20"/>
      <x:c r="M3" s="20"/>
      <x:c r="N3" s="20"/>
      <x:c r="O3" s="20"/>
      <x:c r="P3" s="20"/>
      <x:c r="Q3" s="20"/>
      <x:c r="R3" s="20"/>
      <x:c r="S3" s="20"/>
      <x:c r="T3" s="20"/>
      <x:c r="U3" s="20"/>
      <x:c r="V3" s="20"/>
      <x:c r="W3" s="20"/>
      <x:c r="X3" s="20"/>
      <x:c r="Y3" s="20"/>
      <x:c r="Z3" s="20"/>
    </x:row>
    <x:row r="4">
      <x:c r="A4" s="20" t="str">
        <x:v>Special dies / tools / jigs / fixtures (PCU3335143335140)</x:v>
      </x:c>
      <x:c r="B4" s="21" t="n">
        <x:v>43466</x:v>
      </x:c>
      <x:c r="C4" s="22" t="n">
        <x:v>192</x:v>
      </x:c>
      <x:c r="D4" s="21" t="n">
        <x:v>46235</x:v>
      </x:c>
      <x:c r="E4" s="22" t="n">
        <x:v>255.432</x:v>
      </x:c>
      <x:c r="F4" s="23" t="n">
        <x:f>(E4/C4)-1</x:f>
        <x:v>0.33037499999999986</x:v>
      </x:c>
      <x:c r="G4" s="20" t="str">
        <x:v>External tooling-industry proxy; not Hasbro-specific mold cost.</x:v>
      </x:c>
      <x:c r="H4" s="20"/>
      <x:c r="I4" s="20"/>
      <x:c r="J4" s="20"/>
      <x:c r="K4" s="20"/>
      <x:c r="L4" s="20"/>
      <x:c r="M4" s="20"/>
      <x:c r="N4" s="20"/>
      <x:c r="O4" s="20"/>
      <x:c r="P4" s="20"/>
      <x:c r="Q4" s="20"/>
      <x:c r="R4" s="20"/>
      <x:c r="S4" s="20"/>
      <x:c r="T4" s="20"/>
      <x:c r="U4" s="20"/>
      <x:c r="V4" s="20"/>
      <x:c r="W4" s="20"/>
      <x:c r="X4" s="20"/>
      <x:c r="Y4" s="20"/>
      <x:c r="Z4" s="20"/>
    </x:row>
    <x:row r="5">
      <x:c r="A5" s="20" t="str">
        <x:v>Paints and allied products (WPU062)</x:v>
      </x:c>
      <x:c r="B5" s="21" t="n">
        <x:v>43466</x:v>
      </x:c>
      <x:c r="C5" s="22" t="n">
        <x:v>289</x:v>
      </x:c>
      <x:c r="D5" s="21" t="n">
        <x:v>46235</x:v>
      </x:c>
      <x:c r="E5" s="22" t="n">
        <x:v>430.779</x:v>
      </x:c>
      <x:c r="F5" s="23" t="n">
        <x:f>(E5/C5)-1</x:f>
        <x:v>0.4905847750865051</x:v>
      </x:c>
      <x:c r="G5" s="20" t="str">
        <x:v>Broad paint/deco input proxy.</x:v>
      </x:c>
      <x:c r="H5" s="20"/>
      <x:c r="I5" s="20"/>
      <x:c r="J5" s="20"/>
      <x:c r="K5" s="20"/>
      <x:c r="L5" s="20"/>
      <x:c r="M5" s="20"/>
      <x:c r="N5" s="20"/>
      <x:c r="O5" s="20"/>
      <x:c r="P5" s="20"/>
      <x:c r="Q5" s="20"/>
      <x:c r="R5" s="20"/>
      <x:c r="S5" s="20"/>
      <x:c r="T5" s="20"/>
      <x:c r="U5" s="20"/>
      <x:c r="V5" s="20"/>
      <x:c r="W5" s="20"/>
      <x:c r="X5" s="20"/>
      <x:c r="Y5" s="20"/>
      <x:c r="Z5" s="20"/>
    </x:row>
    <x:row r="6">
      <x:c r="A6" s="20" t="str">
        <x:v>Printing ink (WPU06790919)</x:v>
      </x:c>
      <x:c r="B6" s="21" t="n">
        <x:v>43466</x:v>
      </x:c>
      <x:c r="C6" s="22" t="n">
        <x:v>215.7</x:v>
      </x:c>
      <x:c r="D6" s="21" t="n">
        <x:v>46235</x:v>
      </x:c>
      <x:c r="E6" s="22" t="n">
        <x:v>277.74</x:v>
      </x:c>
      <x:c r="F6" s="23" t="n">
        <x:f>(E6/C6)-1</x:f>
        <x:v>0.2876216968011127</x:v>
      </x:c>
      <x:c r="G6" s="20" t="str">
        <x:v>Packaging/deco printing input proxy.</x:v>
      </x:c>
      <x:c r="H6" s="20"/>
      <x:c r="I6" s="20"/>
      <x:c r="J6" s="20"/>
      <x:c r="K6" s="20"/>
      <x:c r="L6" s="20"/>
      <x:c r="M6" s="20"/>
      <x:c r="N6" s="20"/>
      <x:c r="O6" s="20"/>
      <x:c r="P6" s="20"/>
      <x:c r="Q6" s="20"/>
      <x:c r="R6" s="20"/>
      <x:c r="S6" s="20"/>
      <x:c r="T6" s="20"/>
      <x:c r="U6" s="20"/>
      <x:c r="V6" s="20"/>
      <x:c r="W6" s="20"/>
      <x:c r="X6" s="20"/>
      <x:c r="Y6" s="20"/>
      <x:c r="Z6" s="20"/>
    </x:row>
    <x:row r="7">
      <x:c r="A7" s="20" t="str">
        <x:v>Adhesives and sealants (WPU067904)</x:v>
      </x:c>
      <x:c r="B7" s="21" t="n">
        <x:v>43466</x:v>
      </x:c>
      <x:c r="C7" s="22" t="n">
        <x:v>265.9</x:v>
      </x:c>
      <x:c r="D7" s="21" t="n">
        <x:v>46235</x:v>
      </x:c>
      <x:c r="E7" s="22" t="n">
        <x:v>397.255</x:v>
      </x:c>
      <x:c r="F7" s="23" t="n">
        <x:f>(E7/C7)-1</x:f>
        <x:v>0.4940015043249344</x:v>
      </x:c>
      <x:c r="G7" s="20" t="str">
        <x:v>Assembly/packaging adhesive proxy.</x:v>
      </x:c>
      <x:c r="H7" s="20"/>
      <x:c r="I7" s="20"/>
      <x:c r="J7" s="20"/>
      <x:c r="K7" s="20"/>
      <x:c r="L7" s="20"/>
      <x:c r="M7" s="20"/>
      <x:c r="N7" s="20"/>
      <x:c r="O7" s="20"/>
      <x:c r="P7" s="20"/>
      <x:c r="Q7" s="20"/>
      <x:c r="R7" s="20"/>
      <x:c r="S7" s="20"/>
      <x:c r="T7" s="20"/>
      <x:c r="U7" s="20"/>
      <x:c r="V7" s="20"/>
      <x:c r="W7" s="20"/>
      <x:c r="X7" s="20"/>
      <x:c r="Y7" s="20"/>
      <x:c r="Z7" s="20"/>
    </x:row>
    <x:row r="8">
      <x:c r="A8" s="20" t="str">
        <x:v>Folding paperboard packaging (WPU09150336)</x:v>
      </x:c>
      <x:c r="B8" s="21" t="n">
        <x:v>43466</x:v>
      </x:c>
      <x:c r="C8" s="22" t="n">
        <x:v>110.6</x:v>
      </x:c>
      <x:c r="D8" s="21" t="n">
        <x:v>46235</x:v>
      </x:c>
      <x:c r="E8" s="22" t="n">
        <x:v>157.934</x:v>
      </x:c>
      <x:c r="F8" s="23" t="n">
        <x:f>(E8/C8)-1</x:f>
        <x:v>0.4279746835443039</x:v>
      </x:c>
      <x:c r="G8" s="20" t="str">
        <x:v>Retail packaging material proxy.</x:v>
      </x:c>
      <x:c r="H8" s="20"/>
      <x:c r="I8" s="20"/>
      <x:c r="J8" s="20"/>
      <x:c r="K8" s="20"/>
      <x:c r="L8" s="20"/>
      <x:c r="M8" s="20"/>
      <x:c r="N8" s="20"/>
      <x:c r="O8" s="20"/>
      <x:c r="P8" s="20"/>
      <x:c r="Q8" s="20"/>
      <x:c r="R8" s="20"/>
      <x:c r="S8" s="20"/>
      <x:c r="T8" s="20"/>
      <x:c r="U8" s="20"/>
      <x:c r="V8" s="20"/>
      <x:c r="W8" s="20"/>
      <x:c r="X8" s="20"/>
      <x:c r="Y8" s="20"/>
      <x:c r="Z8" s="20"/>
    </x:row>
    <x:row r="9">
      <x:c r="A9" s="20" t="str">
        <x:v>Corrugated shipping containers (WPU09150301)</x:v>
      </x:c>
      <x:c r="B9" s="21" t="n">
        <x:v>43466</x:v>
      </x:c>
      <x:c r="C9" s="22" t="n">
        <x:v>271.1</x:v>
      </x:c>
      <x:c r="D9" s="21" t="n">
        <x:v>46235</x:v>
      </x:c>
      <x:c r="E9" s="22" t="n">
        <x:v>386.359</x:v>
      </x:c>
      <x:c r="F9" s="23" t="n">
        <x:f>(E9/C9)-1</x:f>
        <x:v>0.425153080044264</x:v>
      </x:c>
      <x:c r="G9" s="20" t="str">
        <x:v>Master-carton / inbound-distribution packaging proxy; not customer delivery.</x:v>
      </x:c>
      <x:c r="H9" s="20"/>
      <x:c r="I9" s="20"/>
      <x:c r="J9" s="20"/>
      <x:c r="K9" s="20"/>
      <x:c r="L9" s="20"/>
      <x:c r="M9" s="20"/>
      <x:c r="N9" s="20"/>
      <x:c r="O9" s="20"/>
      <x:c r="P9" s="20"/>
      <x:c r="Q9" s="20"/>
      <x:c r="R9" s="20"/>
      <x:c r="S9" s="20"/>
      <x:c r="T9" s="20"/>
      <x:c r="U9" s="20"/>
      <x:c r="V9" s="20"/>
      <x:c r="W9" s="20"/>
      <x:c r="X9" s="20"/>
      <x:c r="Y9" s="20"/>
      <x:c r="Z9" s="20"/>
    </x:row>
    <x:row r="10">
      <x:c r="A10" s="20" t="str">
        <x:v>USD/CNY monthly average (EXCHUS)</x:v>
      </x:c>
      <x:c r="B10" s="21" t="n">
        <x:v>43466</x:v>
      </x:c>
      <x:c r="C10" s="22" t="n">
        <x:v>6.7863</x:v>
      </x:c>
      <x:c r="D10" s="21" t="n">
        <x:v>46235</x:v>
      </x:c>
      <x:c r="E10" s="22" t="n">
        <x:v>6.7361</x:v>
      </x:c>
      <x:c r="F10" s="23" t="n">
        <x:f>(E10/C10)-1</x:f>
        <x:v>-0.007397256236829963</x:v>
      </x:c>
      <x:c r="G10" s="20" t="str">
        <x:v>Currency control; units are CNY per USD, so direction needs careful interpretation.</x:v>
      </x:c>
      <x:c r="H10" s="20"/>
      <x:c r="I10" s="20"/>
      <x:c r="J10" s="20"/>
      <x:c r="K10" s="20"/>
      <x:c r="L10" s="20"/>
      <x:c r="M10" s="20"/>
      <x:c r="N10" s="20"/>
      <x:c r="O10" s="20"/>
      <x:c r="P10" s="20"/>
      <x:c r="Q10" s="20"/>
      <x:c r="R10" s="20"/>
      <x:c r="S10" s="20"/>
      <x:c r="T10" s="20"/>
      <x:c r="U10" s="20"/>
      <x:c r="V10" s="20"/>
      <x:c r="W10" s="20"/>
      <x:c r="X10" s="20"/>
      <x:c r="Y10" s="20"/>
      <x:c r="Z10" s="20"/>
    </x:row>
    <x:row r="11">
      <x:c r="A11" s="20" t="str">
        <x:v>China urban private manufacturing wage</x:v>
      </x:c>
      <x:c r="B11" s="21" t="n">
        <x:v>43466</x:v>
      </x:c>
      <x:c r="C11" s="65" t="n">
        <x:v>52858</x:v>
      </x:c>
      <x:c r="D11" s="65" t="n">
        <x:v>45658</x:v>
      </x:c>
      <x:c r="E11" s="65" t="n">
        <x:v>76055</x:v>
      </x:c>
      <x:c r="F11" s="23" t="n">
        <x:f>(E11/C11)-1</x:f>
        <x:v>0.43885504559385513</x:v>
      </x:c>
      <x:c r="G11" s="20" t="str">
        <x:v>Primary China manufacturing-labor proxy; annual and China-only, not Hasbro-specific.</x:v>
      </x:c>
      <x:c r="H11" s="20"/>
      <x:c r="I11" s="20"/>
      <x:c r="J11" s="20"/>
      <x:c r="K11" s="20"/>
      <x:c r="L11" s="20"/>
      <x:c r="M11" s="20"/>
      <x:c r="N11" s="20"/>
      <x:c r="O11" s="20"/>
      <x:c r="P11" s="20"/>
      <x:c r="Q11" s="20"/>
      <x:c r="R11" s="20"/>
      <x:c r="S11" s="20"/>
      <x:c r="T11" s="20"/>
      <x:c r="U11" s="20"/>
      <x:c r="V11" s="20"/>
      <x:c r="W11" s="20"/>
      <x:c r="X11" s="20"/>
      <x:c r="Y11" s="20"/>
      <x:c r="Z11" s="20"/>
    </x:row>
    <x:row r="12">
      <x:c r="A12" s="20"/>
      <x:c r="B12" s="20"/>
      <x:c r="C12" s="20"/>
      <x:c r="D12" s="20"/>
      <x:c r="E12" s="20"/>
      <x:c r="F12" s="20"/>
      <x:c r="G12" s="20"/>
      <x:c r="H12" s="20"/>
      <x:c r="I12" s="20"/>
      <x:c r="J12" s="20"/>
      <x:c r="K12" s="20"/>
      <x:c r="L12" s="20"/>
      <x:c r="M12" s="20"/>
      <x:c r="N12" s="20"/>
      <x:c r="O12" s="20"/>
      <x:c r="P12" s="20"/>
      <x:c r="Q12" s="20"/>
      <x:c r="R12" s="20"/>
      <x:c r="S12" s="20"/>
      <x:c r="T12" s="20"/>
      <x:c r="U12" s="20"/>
      <x:c r="V12" s="20"/>
      <x:c r="W12" s="20"/>
      <x:c r="X12" s="20"/>
      <x:c r="Y12" s="20"/>
      <x:c r="Z12" s="20"/>
    </x:row>
    <x:row r="13">
      <x:c r="A13" s="20"/>
      <x:c r="B13" s="20"/>
      <x:c r="C13" s="20"/>
      <x:c r="D13" s="20"/>
      <x:c r="E13" s="20"/>
      <x:c r="F13" s="20"/>
      <x:c r="G13" s="20"/>
      <x:c r="H13" s="20"/>
      <x:c r="I13" s="20"/>
      <x:c r="J13" s="20"/>
      <x:c r="K13" s="20"/>
      <x:c r="L13" s="20"/>
      <x:c r="M13" s="20"/>
      <x:c r="N13" s="20"/>
      <x:c r="O13" s="20"/>
      <x:c r="P13" s="20"/>
      <x:c r="Q13" s="20"/>
      <x:c r="R13" s="20"/>
      <x:c r="S13" s="20"/>
      <x:c r="T13" s="20"/>
      <x:c r="U13" s="20"/>
      <x:c r="V13" s="20"/>
      <x:c r="W13" s="20"/>
      <x:c r="X13" s="20"/>
      <x:c r="Y13" s="20"/>
      <x:c r="Z13" s="20"/>
    </x:row>
    <x:row r="14">
      <x:c r="A14" s="20"/>
      <x:c r="B14" s="20"/>
      <x:c r="C14" s="20"/>
      <x:c r="D14" s="20"/>
      <x:c r="E14" s="20"/>
      <x:c r="F14" s="20"/>
      <x:c r="G14" s="20"/>
      <x:c r="H14" s="20"/>
      <x:c r="I14" s="20"/>
      <x:c r="J14" s="20"/>
      <x:c r="K14" s="20"/>
      <x:c r="L14" s="20"/>
      <x:c r="M14" s="20"/>
      <x:c r="N14" s="20"/>
      <x:c r="O14" s="20"/>
      <x:c r="P14" s="20"/>
      <x:c r="Q14" s="20"/>
      <x:c r="R14" s="20"/>
      <x:c r="S14" s="20"/>
      <x:c r="T14" s="20"/>
      <x:c r="U14" s="20"/>
      <x:c r="V14" s="20"/>
      <x:c r="W14" s="20"/>
      <x:c r="X14" s="20"/>
      <x:c r="Y14" s="20"/>
      <x:c r="Z14" s="20"/>
    </x:row>
    <x:row r="15">
      <x:c r="A15" s="20"/>
      <x:c r="B15" s="20"/>
      <x:c r="C15" s="20"/>
      <x:c r="D15" s="20"/>
      <x:c r="E15" s="20"/>
      <x:c r="F15" s="20"/>
      <x:c r="G15" s="20"/>
      <x:c r="H15" s="20"/>
      <x:c r="I15" s="20"/>
      <x:c r="J15" s="20"/>
      <x:c r="K15" s="20"/>
      <x:c r="L15" s="20"/>
      <x:c r="M15" s="20"/>
      <x:c r="N15" s="20"/>
      <x:c r="O15" s="20"/>
      <x:c r="P15" s="20"/>
      <x:c r="Q15" s="20"/>
      <x:c r="R15" s="20"/>
      <x:c r="S15" s="20"/>
      <x:c r="T15" s="20"/>
      <x:c r="U15" s="20"/>
      <x:c r="V15" s="20"/>
      <x:c r="W15" s="20"/>
      <x:c r="X15" s="20"/>
      <x:c r="Y15" s="20"/>
      <x:c r="Z15" s="20"/>
    </x:row>
    <x:row r="16">
      <x:c r="A16" s="20"/>
      <x:c r="B16" s="20"/>
      <x:c r="C16" s="20"/>
      <x:c r="D16" s="20"/>
      <x:c r="E16" s="20"/>
      <x:c r="F16" s="20"/>
      <x:c r="G16" s="20"/>
      <x:c r="H16" s="20"/>
      <x:c r="I16" s="20"/>
      <x:c r="J16" s="20"/>
      <x:c r="K16" s="20"/>
      <x:c r="L16" s="20"/>
      <x:c r="M16" s="20"/>
      <x:c r="N16" s="20"/>
      <x:c r="O16" s="20"/>
      <x:c r="P16" s="20"/>
      <x:c r="Q16" s="20"/>
      <x:c r="R16" s="20"/>
      <x:c r="S16" s="20"/>
      <x:c r="T16" s="20"/>
      <x:c r="U16" s="20"/>
      <x:c r="V16" s="20"/>
      <x:c r="W16" s="20"/>
      <x:c r="X16" s="20"/>
      <x:c r="Y16" s="20"/>
      <x:c r="Z16" s="20"/>
    </x:row>
    <x:row r="17">
      <x:c r="A17" s="20"/>
      <x:c r="B17" s="20"/>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row>
    <x:row r="18">
      <x:c r="A18" s="20"/>
      <x:c r="B18" s="20"/>
      <x:c r="C18" s="20"/>
      <x:c r="D18" s="20"/>
      <x:c r="E18" s="20"/>
      <x:c r="F18" s="20"/>
      <x:c r="G18" s="20"/>
      <x:c r="H18" s="20"/>
      <x:c r="I18" s="20"/>
      <x:c r="J18" s="20"/>
      <x:c r="K18" s="20"/>
      <x:c r="L18" s="20"/>
      <x:c r="M18" s="20"/>
      <x:c r="N18" s="20"/>
      <x:c r="O18" s="20"/>
      <x:c r="P18" s="20"/>
      <x:c r="Q18" s="20"/>
      <x:c r="R18" s="20"/>
      <x:c r="S18" s="20"/>
      <x:c r="T18" s="20"/>
      <x:c r="U18" s="20"/>
      <x:c r="V18" s="20"/>
      <x:c r="W18" s="20"/>
      <x:c r="X18" s="20"/>
      <x:c r="Y18" s="20"/>
      <x:c r="Z18" s="20"/>
    </x:row>
    <x:row r="19">
      <x:c r="A19" s="20"/>
      <x:c r="B19" s="20"/>
      <x:c r="C19" s="20"/>
      <x:c r="D19" s="20"/>
      <x:c r="E19" s="20"/>
      <x:c r="F19" s="20"/>
      <x:c r="G19" s="20"/>
      <x:c r="H19" s="20"/>
      <x:c r="I19" s="20"/>
      <x:c r="J19" s="20"/>
      <x:c r="K19" s="20"/>
      <x:c r="L19" s="20"/>
      <x:c r="M19" s="20"/>
      <x:c r="N19" s="20"/>
      <x:c r="O19" s="20"/>
      <x:c r="P19" s="20"/>
      <x:c r="Q19" s="20"/>
      <x:c r="R19" s="20"/>
      <x:c r="S19" s="20"/>
      <x:c r="T19" s="20"/>
      <x:c r="U19" s="20"/>
      <x:c r="V19" s="20"/>
      <x:c r="W19" s="20"/>
      <x:c r="X19" s="20"/>
      <x:c r="Y19" s="20"/>
      <x:c r="Z19" s="20"/>
    </x:row>
    <x:row r="20">
      <x:c r="A20" s="20"/>
      <x:c r="B20" s="20"/>
      <x:c r="C20" s="20"/>
      <x:c r="D20" s="20"/>
      <x:c r="E20" s="20"/>
      <x:c r="F20" s="20"/>
      <x:c r="G20" s="20"/>
      <x:c r="H20" s="20"/>
      <x:c r="I20" s="20"/>
      <x:c r="J20" s="20"/>
      <x:c r="K20" s="20"/>
      <x:c r="L20" s="20"/>
      <x:c r="M20" s="20"/>
      <x:c r="N20" s="20"/>
      <x:c r="O20" s="20"/>
      <x:c r="P20" s="20"/>
      <x:c r="Q20" s="20"/>
      <x:c r="R20" s="20"/>
      <x:c r="S20" s="20"/>
      <x:c r="T20" s="20"/>
      <x:c r="U20" s="20"/>
      <x:c r="V20" s="20"/>
      <x:c r="W20" s="20"/>
      <x:c r="X20" s="20"/>
      <x:c r="Y20" s="20"/>
      <x:c r="Z20" s="20"/>
    </x:row>
    <x:row r="21">
      <x:c r="A21" s="20"/>
      <x:c r="B21" s="20"/>
      <x:c r="C21" s="20"/>
      <x:c r="D21" s="20"/>
      <x:c r="E21" s="20"/>
      <x:c r="F21" s="20"/>
      <x:c r="G21" s="20"/>
      <x:c r="H21" s="20"/>
      <x:c r="I21" s="20"/>
      <x:c r="J21" s="20"/>
      <x:c r="K21" s="20"/>
      <x:c r="L21" s="20"/>
      <x:c r="M21" s="20"/>
      <x:c r="N21" s="20"/>
      <x:c r="O21" s="20"/>
      <x:c r="P21" s="20"/>
      <x:c r="Q21" s="20"/>
      <x:c r="R21" s="20"/>
      <x:c r="S21" s="20"/>
      <x:c r="T21" s="20"/>
      <x:c r="U21" s="20"/>
      <x:c r="V21" s="20"/>
      <x:c r="W21" s="20"/>
      <x:c r="X21" s="20"/>
      <x:c r="Y21" s="20"/>
      <x:c r="Z21" s="20"/>
    </x:row>
    <x:row r="22">
      <x:c r="A22" s="20"/>
      <x:c r="B22" s="20"/>
      <x:c r="C22" s="20"/>
      <x:c r="D22" s="20"/>
      <x:c r="E22" s="20"/>
      <x:c r="F22" s="20"/>
      <x:c r="G22" s="20"/>
      <x:c r="H22" s="20"/>
      <x:c r="I22" s="20"/>
      <x:c r="J22" s="20"/>
      <x:c r="K22" s="20"/>
      <x:c r="L22" s="20"/>
      <x:c r="M22" s="20"/>
      <x:c r="N22" s="20"/>
      <x:c r="O22" s="20"/>
      <x:c r="P22" s="20"/>
      <x:c r="Q22" s="20"/>
      <x:c r="R22" s="20"/>
      <x:c r="S22" s="20"/>
      <x:c r="T22" s="20"/>
      <x:c r="U22" s="20"/>
      <x:c r="V22" s="20"/>
      <x:c r="W22" s="20"/>
      <x:c r="X22" s="20"/>
      <x:c r="Y22" s="20"/>
      <x:c r="Z22" s="20"/>
    </x:row>
    <x:row r="23">
      <x:c r="A23" s="20"/>
      <x:c r="B23" s="20"/>
      <x:c r="C23" s="20"/>
      <x:c r="D23" s="20"/>
      <x:c r="E23" s="20"/>
      <x:c r="F23" s="20"/>
      <x:c r="G23" s="20"/>
      <x:c r="H23" s="20"/>
      <x:c r="I23" s="20"/>
      <x:c r="J23" s="20"/>
      <x:c r="K23" s="20"/>
      <x:c r="L23" s="20"/>
      <x:c r="M23" s="20"/>
      <x:c r="N23" s="20"/>
      <x:c r="O23" s="20"/>
      <x:c r="P23" s="20"/>
      <x:c r="Q23" s="20"/>
      <x:c r="R23" s="20"/>
      <x:c r="S23" s="20"/>
      <x:c r="T23" s="20"/>
      <x:c r="U23" s="20"/>
      <x:c r="V23" s="20"/>
      <x:c r="W23" s="20"/>
      <x:c r="X23" s="20"/>
      <x:c r="Y23" s="20"/>
      <x:c r="Z23" s="20"/>
    </x:row>
    <x:row r="24">
      <x:c r="A24" s="20"/>
      <x:c r="B24" s="20"/>
      <x:c r="C24" s="20"/>
      <x:c r="D24" s="20"/>
      <x:c r="E24" s="20"/>
      <x:c r="F24" s="20"/>
      <x:c r="G24" s="20"/>
      <x:c r="H24" s="20"/>
      <x:c r="I24" s="20"/>
      <x:c r="J24" s="20"/>
      <x:c r="K24" s="20"/>
      <x:c r="L24" s="20"/>
      <x:c r="M24" s="20"/>
      <x:c r="N24" s="20"/>
      <x:c r="O24" s="20"/>
      <x:c r="P24" s="20"/>
      <x:c r="Q24" s="20"/>
      <x:c r="R24" s="20"/>
      <x:c r="S24" s="20"/>
      <x:c r="T24" s="20"/>
      <x:c r="U24" s="20"/>
      <x:c r="V24" s="20"/>
      <x:c r="W24" s="20"/>
      <x:c r="X24" s="20"/>
      <x:c r="Y24" s="20"/>
      <x:c r="Z24" s="20"/>
    </x:row>
    <x:row r="25">
      <x:c r="A25" s="20"/>
      <x:c r="B25" s="20"/>
      <x:c r="C25" s="20"/>
      <x:c r="D25" s="20"/>
      <x:c r="E25" s="20"/>
      <x:c r="F25" s="20"/>
      <x:c r="G25" s="20"/>
      <x:c r="H25" s="20"/>
      <x:c r="I25" s="20"/>
      <x:c r="J25" s="20"/>
      <x:c r="K25" s="20"/>
      <x:c r="L25" s="20"/>
      <x:c r="M25" s="20"/>
      <x:c r="N25" s="20"/>
      <x:c r="O25" s="20"/>
      <x:c r="P25" s="20"/>
      <x:c r="Q25" s="20"/>
      <x:c r="R25" s="20"/>
      <x:c r="S25" s="20"/>
      <x:c r="T25" s="20"/>
      <x:c r="U25" s="20"/>
      <x:c r="V25" s="20"/>
      <x:c r="W25" s="20"/>
      <x:c r="X25" s="20"/>
      <x:c r="Y25" s="20"/>
      <x:c r="Z25" s="20"/>
    </x:row>
    <x:row r="26">
      <x:c r="A26" s="20"/>
      <x:c r="B26" s="20"/>
      <x:c r="C26" s="20"/>
      <x:c r="D26" s="20"/>
      <x:c r="E26" s="20"/>
      <x:c r="F26" s="20"/>
      <x:c r="G26" s="20"/>
      <x:c r="H26" s="20"/>
      <x:c r="I26" s="20"/>
      <x:c r="J26" s="20"/>
      <x:c r="K26" s="20"/>
      <x:c r="L26" s="20"/>
      <x:c r="M26" s="20"/>
      <x:c r="N26" s="20"/>
      <x:c r="O26" s="20"/>
      <x:c r="P26" s="20"/>
      <x:c r="Q26" s="20"/>
      <x:c r="R26" s="20"/>
      <x:c r="S26" s="20"/>
      <x:c r="T26" s="20"/>
      <x:c r="U26" s="20"/>
      <x:c r="V26" s="20"/>
      <x:c r="W26" s="20"/>
      <x:c r="X26" s="20"/>
      <x:c r="Y26" s="20"/>
      <x:c r="Z26" s="20"/>
    </x:row>
    <x:row r="27">
      <x:c r="A27" s="20"/>
      <x:c r="B27" s="20"/>
      <x:c r="C27" s="20"/>
      <x:c r="D27" s="20"/>
      <x:c r="E27" s="20"/>
      <x:c r="F27" s="20"/>
      <x:c r="G27" s="20"/>
      <x:c r="H27" s="20"/>
      <x:c r="I27" s="20"/>
      <x:c r="J27" s="20"/>
      <x:c r="K27" s="20"/>
      <x:c r="L27" s="20"/>
      <x:c r="M27" s="20"/>
      <x:c r="N27" s="20"/>
      <x:c r="O27" s="20"/>
      <x:c r="P27" s="20"/>
      <x:c r="Q27" s="20"/>
      <x:c r="R27" s="20"/>
      <x:c r="S27" s="20"/>
      <x:c r="T27" s="20"/>
      <x:c r="U27" s="20"/>
      <x:c r="V27" s="20"/>
      <x:c r="W27" s="20"/>
      <x:c r="X27" s="20"/>
      <x:c r="Y27" s="20"/>
      <x:c r="Z27" s="20"/>
    </x:row>
    <x:row r="28">
      <x:c r="A28" s="20"/>
      <x:c r="B28" s="20"/>
      <x:c r="C28" s="20"/>
      <x:c r="D28" s="20"/>
      <x:c r="E28" s="20"/>
      <x:c r="F28" s="20"/>
      <x:c r="G28" s="20"/>
      <x:c r="H28" s="20"/>
      <x:c r="I28" s="20"/>
      <x:c r="J28" s="20"/>
      <x:c r="K28" s="20"/>
      <x:c r="L28" s="20"/>
      <x:c r="M28" s="20"/>
      <x:c r="N28" s="20"/>
      <x:c r="O28" s="20"/>
      <x:c r="P28" s="20"/>
      <x:c r="Q28" s="20"/>
      <x:c r="R28" s="20"/>
      <x:c r="S28" s="20"/>
      <x:c r="T28" s="20"/>
      <x:c r="U28" s="20"/>
      <x:c r="V28" s="20"/>
      <x:c r="W28" s="20"/>
      <x:c r="X28" s="20"/>
      <x:c r="Y28" s="20"/>
      <x:c r="Z28" s="20"/>
    </x:row>
    <x:row r="29">
      <x:c r="A29" s="20"/>
      <x:c r="B29" s="20"/>
      <x:c r="C29" s="20"/>
      <x:c r="D29" s="20"/>
      <x:c r="E29" s="20"/>
      <x:c r="F29" s="20"/>
      <x:c r="G29" s="20"/>
      <x:c r="H29" s="20"/>
      <x:c r="I29" s="20"/>
      <x:c r="J29" s="20"/>
      <x:c r="K29" s="20"/>
      <x:c r="L29" s="20"/>
      <x:c r="M29" s="20"/>
      <x:c r="N29" s="20"/>
      <x:c r="O29" s="20"/>
      <x:c r="P29" s="20"/>
      <x:c r="Q29" s="20"/>
      <x:c r="R29" s="20"/>
      <x:c r="S29" s="20"/>
      <x:c r="T29" s="20"/>
      <x:c r="U29" s="20"/>
      <x:c r="V29" s="20"/>
      <x:c r="W29" s="20"/>
      <x:c r="X29" s="20"/>
      <x:c r="Y29" s="20"/>
      <x:c r="Z29" s="20"/>
    </x:row>
    <x:row r="30">
      <x:c r="A30" s="20"/>
      <x:c r="B30" s="20"/>
      <x:c r="C30" s="20"/>
      <x:c r="D30" s="20"/>
      <x:c r="E30" s="20"/>
      <x:c r="F30" s="20"/>
      <x:c r="G30" s="20"/>
      <x:c r="H30" s="20"/>
      <x:c r="I30" s="20"/>
      <x:c r="J30" s="20"/>
      <x:c r="K30" s="20"/>
      <x:c r="L30" s="20"/>
      <x:c r="M30" s="20"/>
      <x:c r="N30" s="20"/>
      <x:c r="O30" s="20"/>
      <x:c r="P30" s="20"/>
      <x:c r="Q30" s="20"/>
      <x:c r="R30" s="20"/>
      <x:c r="S30" s="20"/>
      <x:c r="T30" s="20"/>
      <x:c r="U30" s="20"/>
      <x:c r="V30" s="20"/>
      <x:c r="W30" s="20"/>
      <x:c r="X30" s="20"/>
      <x:c r="Y30" s="20"/>
      <x:c r="Z30" s="20"/>
    </x:row>
    <x:row r="31">
      <x:c r="A31" s="20"/>
      <x:c r="B31" s="20"/>
      <x:c r="C31" s="20"/>
      <x:c r="D31" s="20"/>
      <x:c r="E31" s="20"/>
      <x:c r="F31" s="20"/>
      <x:c r="G31" s="20"/>
      <x:c r="H31" s="20"/>
      <x:c r="I31" s="20"/>
      <x:c r="J31" s="20"/>
      <x:c r="K31" s="20"/>
      <x:c r="L31" s="20"/>
      <x:c r="M31" s="20"/>
      <x:c r="N31" s="20"/>
      <x:c r="O31" s="20"/>
      <x:c r="P31" s="20"/>
      <x:c r="Q31" s="20"/>
      <x:c r="R31" s="20"/>
      <x:c r="S31" s="20"/>
      <x:c r="T31" s="20"/>
      <x:c r="U31" s="20"/>
      <x:c r="V31" s="20"/>
      <x:c r="W31" s="20"/>
      <x:c r="X31" s="20"/>
      <x:c r="Y31" s="20"/>
      <x:c r="Z31" s="20"/>
    </x:row>
    <x:row r="32">
      <x:c r="A32" s="20"/>
      <x:c r="B32" s="20"/>
      <x:c r="C32" s="20"/>
      <x:c r="D32" s="20"/>
      <x:c r="E32" s="20"/>
      <x:c r="F32" s="20"/>
      <x:c r="G32" s="20"/>
      <x:c r="H32" s="20"/>
      <x:c r="I32" s="20"/>
      <x:c r="J32" s="20"/>
      <x:c r="K32" s="20"/>
      <x:c r="L32" s="20"/>
      <x:c r="M32" s="20"/>
      <x:c r="N32" s="20"/>
      <x:c r="O32" s="20"/>
      <x:c r="P32" s="20"/>
      <x:c r="Q32" s="20"/>
      <x:c r="R32" s="20"/>
      <x:c r="S32" s="20"/>
      <x:c r="T32" s="20"/>
      <x:c r="U32" s="20"/>
      <x:c r="V32" s="20"/>
      <x:c r="W32" s="20"/>
      <x:c r="X32" s="20"/>
      <x:c r="Y32" s="20"/>
      <x:c r="Z32" s="20"/>
    </x:row>
    <x:row r="33">
      <x:c r="A33" s="20"/>
      <x:c r="B33" s="20"/>
      <x:c r="C33" s="20"/>
      <x:c r="D33" s="20"/>
      <x:c r="E33" s="20"/>
      <x:c r="F33" s="20"/>
      <x:c r="G33" s="20"/>
      <x:c r="H33" s="20"/>
      <x:c r="I33" s="20"/>
      <x:c r="J33" s="20"/>
      <x:c r="K33" s="20"/>
      <x:c r="L33" s="20"/>
      <x:c r="M33" s="20"/>
      <x:c r="N33" s="20"/>
      <x:c r="O33" s="20"/>
      <x:c r="P33" s="20"/>
      <x:c r="Q33" s="20"/>
      <x:c r="R33" s="20"/>
      <x:c r="S33" s="20"/>
      <x:c r="T33" s="20"/>
      <x:c r="U33" s="20"/>
      <x:c r="V33" s="20"/>
      <x:c r="W33" s="20"/>
      <x:c r="X33" s="20"/>
      <x:c r="Y33" s="20"/>
      <x:c r="Z33" s="20"/>
    </x:row>
    <x:row r="34">
      <x:c r="A34" s="20"/>
      <x:c r="B34" s="20"/>
      <x:c r="C34" s="20"/>
      <x:c r="D34" s="20"/>
      <x:c r="E34" s="20"/>
      <x:c r="F34" s="20"/>
      <x:c r="G34" s="20"/>
      <x:c r="H34" s="20"/>
      <x:c r="I34" s="20"/>
      <x:c r="J34" s="20"/>
      <x:c r="K34" s="20"/>
      <x:c r="L34" s="20"/>
      <x:c r="M34" s="20"/>
      <x:c r="N34" s="20"/>
      <x:c r="O34" s="20"/>
      <x:c r="P34" s="20"/>
      <x:c r="Q34" s="20"/>
      <x:c r="R34" s="20"/>
      <x:c r="S34" s="20"/>
      <x:c r="T34" s="20"/>
      <x:c r="U34" s="20"/>
      <x:c r="V34" s="20"/>
      <x:c r="W34" s="20"/>
      <x:c r="X34" s="20"/>
      <x:c r="Y34" s="20"/>
      <x:c r="Z34" s="20"/>
    </x:row>
    <x:row r="35">
      <x:c r="A35" s="20"/>
      <x:c r="B35" s="20"/>
      <x:c r="C35" s="20"/>
      <x:c r="D35" s="20"/>
      <x:c r="E35" s="20"/>
      <x:c r="F35" s="20"/>
      <x:c r="G35" s="20"/>
      <x:c r="H35" s="20"/>
      <x:c r="I35" s="20"/>
      <x:c r="J35" s="20"/>
      <x:c r="K35" s="20"/>
      <x:c r="L35" s="20"/>
      <x:c r="M35" s="20"/>
      <x:c r="N35" s="20"/>
      <x:c r="O35" s="20"/>
      <x:c r="P35" s="20"/>
      <x:c r="Q35" s="20"/>
      <x:c r="R35" s="20"/>
      <x:c r="S35" s="20"/>
      <x:c r="T35" s="20"/>
      <x:c r="U35" s="20"/>
      <x:c r="V35" s="20"/>
      <x:c r="W35" s="20"/>
      <x:c r="X35" s="20"/>
      <x:c r="Y35" s="20"/>
      <x:c r="Z35" s="20"/>
    </x:row>
    <x:row r="36">
      <x:c r="A36" s="20"/>
      <x:c r="B36" s="20"/>
      <x:c r="C36" s="20"/>
      <x:c r="D36" s="20"/>
      <x:c r="E36" s="20"/>
      <x:c r="F36" s="20"/>
      <x:c r="G36" s="20"/>
      <x:c r="H36" s="20"/>
      <x:c r="I36" s="20"/>
      <x:c r="J36" s="20"/>
      <x:c r="K36" s="20"/>
      <x:c r="L36" s="20"/>
      <x:c r="M36" s="20"/>
      <x:c r="N36" s="20"/>
      <x:c r="O36" s="20"/>
      <x:c r="P36" s="20"/>
      <x:c r="Q36" s="20"/>
      <x:c r="R36" s="20"/>
      <x:c r="S36" s="20"/>
      <x:c r="T36" s="20"/>
      <x:c r="U36" s="20"/>
      <x:c r="V36" s="20"/>
      <x:c r="W36" s="20"/>
      <x:c r="X36" s="20"/>
      <x:c r="Y36" s="20"/>
      <x:c r="Z36" s="20"/>
    </x:row>
    <x:row r="37">
      <x:c r="A37" s="20"/>
      <x:c r="B37" s="20"/>
      <x:c r="C37" s="20"/>
      <x:c r="D37" s="20"/>
      <x:c r="E37" s="20"/>
      <x:c r="F37" s="20"/>
      <x:c r="G37" s="20"/>
      <x:c r="H37" s="20"/>
      <x:c r="I37" s="20"/>
      <x:c r="J37" s="20"/>
      <x:c r="K37" s="20"/>
      <x:c r="L37" s="20"/>
      <x:c r="M37" s="20"/>
      <x:c r="N37" s="20"/>
      <x:c r="O37" s="20"/>
      <x:c r="P37" s="20"/>
      <x:c r="Q37" s="20"/>
      <x:c r="R37" s="20"/>
      <x:c r="S37" s="20"/>
      <x:c r="T37" s="20"/>
      <x:c r="U37" s="20"/>
      <x:c r="V37" s="20"/>
      <x:c r="W37" s="20"/>
      <x:c r="X37" s="20"/>
      <x:c r="Y37" s="20"/>
      <x:c r="Z37" s="20"/>
    </x:row>
    <x:row r="38">
      <x:c r="A38" s="20"/>
      <x:c r="B38" s="20"/>
      <x:c r="C38" s="20"/>
      <x:c r="D38" s="20"/>
      <x:c r="E38" s="20"/>
      <x:c r="F38" s="20"/>
      <x:c r="G38" s="20"/>
      <x:c r="H38" s="20"/>
      <x:c r="I38" s="20"/>
      <x:c r="J38" s="20"/>
      <x:c r="K38" s="20"/>
      <x:c r="L38" s="20"/>
      <x:c r="M38" s="20"/>
      <x:c r="N38" s="20"/>
      <x:c r="O38" s="20"/>
      <x:c r="P38" s="20"/>
      <x:c r="Q38" s="20"/>
      <x:c r="R38" s="20"/>
      <x:c r="S38" s="20"/>
      <x:c r="T38" s="20"/>
      <x:c r="U38" s="20"/>
      <x:c r="V38" s="20"/>
      <x:c r="W38" s="20"/>
      <x:c r="X38" s="20"/>
      <x:c r="Y38" s="20"/>
      <x:c r="Z38" s="20"/>
    </x:row>
    <x:row r="39">
      <x:c r="A39" s="20"/>
      <x:c r="B39" s="20"/>
      <x:c r="C39" s="20"/>
      <x:c r="D39" s="20"/>
      <x:c r="E39" s="20"/>
      <x:c r="F39" s="20"/>
      <x:c r="G39" s="20"/>
      <x:c r="H39" s="20"/>
      <x:c r="I39" s="20"/>
      <x:c r="J39" s="20"/>
      <x:c r="K39" s="20"/>
      <x:c r="L39" s="20"/>
      <x:c r="M39" s="20"/>
      <x:c r="N39" s="20"/>
      <x:c r="O39" s="20"/>
      <x:c r="P39" s="20"/>
      <x:c r="Q39" s="20"/>
      <x:c r="R39" s="20"/>
      <x:c r="S39" s="20"/>
      <x:c r="T39" s="20"/>
      <x:c r="U39" s="20"/>
      <x:c r="V39" s="20"/>
      <x:c r="W39" s="20"/>
      <x:c r="X39" s="20"/>
      <x:c r="Y39" s="20"/>
      <x:c r="Z39" s="20"/>
    </x:row>
    <x:row r="40">
      <x:c r="A40" s="20"/>
      <x:c r="B40" s="20"/>
      <x:c r="C40" s="20"/>
      <x:c r="D40" s="20"/>
      <x:c r="E40" s="20"/>
      <x:c r="F40" s="20"/>
      <x:c r="G40" s="20"/>
      <x:c r="H40" s="20"/>
      <x:c r="I40" s="20"/>
      <x:c r="J40" s="20"/>
      <x:c r="K40" s="20"/>
      <x:c r="L40" s="20"/>
      <x:c r="M40" s="20"/>
      <x:c r="N40" s="20"/>
      <x:c r="O40" s="20"/>
      <x:c r="P40" s="20"/>
      <x:c r="Q40" s="20"/>
      <x:c r="R40" s="20"/>
      <x:c r="S40" s="20"/>
      <x:c r="T40" s="20"/>
      <x:c r="U40" s="20"/>
      <x:c r="V40" s="20"/>
      <x:c r="W40" s="20"/>
      <x:c r="X40" s="20"/>
      <x:c r="Y40" s="20"/>
      <x:c r="Z40" s="20"/>
    </x:row>
    <x:row r="41">
      <x:c r="A41" s="20"/>
      <x:c r="B41" s="20"/>
      <x:c r="C41" s="20"/>
      <x:c r="D41" s="20"/>
      <x:c r="E41" s="20"/>
      <x:c r="F41" s="20"/>
      <x:c r="G41" s="20"/>
      <x:c r="H41" s="20"/>
      <x:c r="I41" s="20"/>
      <x:c r="J41" s="20"/>
      <x:c r="K41" s="20"/>
      <x:c r="L41" s="20"/>
      <x:c r="M41" s="20"/>
      <x:c r="N41" s="20"/>
      <x:c r="O41" s="20"/>
      <x:c r="P41" s="20"/>
      <x:c r="Q41" s="20"/>
      <x:c r="R41" s="20"/>
      <x:c r="S41" s="20"/>
      <x:c r="T41" s="20"/>
      <x:c r="U41" s="20"/>
      <x:c r="V41" s="20"/>
      <x:c r="W41" s="20"/>
      <x:c r="X41" s="20"/>
      <x:c r="Y41" s="20"/>
      <x:c r="Z41" s="20"/>
    </x:row>
    <x:row r="42">
      <x:c r="A42" s="20"/>
      <x:c r="B42" s="20"/>
      <x:c r="C42" s="20"/>
      <x:c r="D42" s="20"/>
      <x:c r="E42" s="20"/>
      <x:c r="F42" s="20"/>
      <x:c r="G42" s="20"/>
      <x:c r="H42" s="20"/>
      <x:c r="I42" s="20"/>
      <x:c r="J42" s="20"/>
      <x:c r="K42" s="20"/>
      <x:c r="L42" s="20"/>
      <x:c r="M42" s="20"/>
      <x:c r="N42" s="20"/>
      <x:c r="O42" s="20"/>
      <x:c r="P42" s="20"/>
      <x:c r="Q42" s="20"/>
      <x:c r="R42" s="20"/>
      <x:c r="S42" s="20"/>
      <x:c r="T42" s="20"/>
      <x:c r="U42" s="20"/>
      <x:c r="V42" s="20"/>
      <x:c r="W42" s="20"/>
      <x:c r="X42" s="20"/>
      <x:c r="Y42" s="20"/>
      <x:c r="Z42" s="20"/>
    </x:row>
    <x:row r="43">
      <x:c r="A43" s="20"/>
      <x:c r="B43" s="20"/>
      <x:c r="C43" s="20"/>
      <x:c r="D43" s="20"/>
      <x:c r="E43" s="20"/>
      <x:c r="F43" s="20"/>
      <x:c r="G43" s="20"/>
      <x:c r="H43" s="20"/>
      <x:c r="I43" s="20"/>
      <x:c r="J43" s="20"/>
      <x:c r="K43" s="20"/>
      <x:c r="L43" s="20"/>
      <x:c r="M43" s="20"/>
      <x:c r="N43" s="20"/>
      <x:c r="O43" s="20"/>
      <x:c r="P43" s="20"/>
      <x:c r="Q43" s="20"/>
      <x:c r="R43" s="20"/>
      <x:c r="S43" s="20"/>
      <x:c r="T43" s="20"/>
      <x:c r="U43" s="20"/>
      <x:c r="V43" s="20"/>
      <x:c r="W43" s="20"/>
      <x:c r="X43" s="20"/>
      <x:c r="Y43" s="20"/>
      <x:c r="Z43" s="20"/>
    </x:row>
    <x:row r="44">
      <x:c r="A44" s="20"/>
      <x:c r="B44" s="20"/>
      <x:c r="C44" s="20"/>
      <x:c r="D44" s="20"/>
      <x:c r="E44" s="20"/>
      <x:c r="F44" s="20"/>
      <x:c r="G44" s="20"/>
      <x:c r="H44" s="20"/>
      <x:c r="I44" s="20"/>
      <x:c r="J44" s="20"/>
      <x:c r="K44" s="20"/>
      <x:c r="L44" s="20"/>
      <x:c r="M44" s="20"/>
      <x:c r="N44" s="20"/>
      <x:c r="O44" s="20"/>
      <x:c r="P44" s="20"/>
      <x:c r="Q44" s="20"/>
      <x:c r="R44" s="20"/>
      <x:c r="S44" s="20"/>
      <x:c r="T44" s="20"/>
      <x:c r="U44" s="20"/>
      <x:c r="V44" s="20"/>
      <x:c r="W44" s="20"/>
      <x:c r="X44" s="20"/>
      <x:c r="Y44" s="20"/>
      <x:c r="Z44" s="20"/>
    </x:row>
    <x:row r="45">
      <x:c r="A45" s="20"/>
      <x:c r="B45" s="20"/>
      <x:c r="C45" s="20"/>
      <x:c r="D45" s="20"/>
      <x:c r="E45" s="20"/>
      <x:c r="F45" s="20"/>
      <x:c r="G45" s="20"/>
      <x:c r="H45" s="20"/>
      <x:c r="I45" s="20"/>
      <x:c r="J45" s="20"/>
      <x:c r="K45" s="20"/>
      <x:c r="L45" s="20"/>
      <x:c r="M45" s="20"/>
      <x:c r="N45" s="20"/>
      <x:c r="O45" s="20"/>
      <x:c r="P45" s="20"/>
      <x:c r="Q45" s="20"/>
      <x:c r="R45" s="20"/>
      <x:c r="S45" s="20"/>
      <x:c r="T45" s="20"/>
      <x:c r="U45" s="20"/>
      <x:c r="V45" s="20"/>
      <x:c r="W45" s="20"/>
      <x:c r="X45" s="20"/>
      <x:c r="Y45" s="20"/>
      <x:c r="Z45" s="20"/>
    </x:row>
    <x:row r="46">
      <x:c r="A46" s="20"/>
      <x:c r="B46" s="20"/>
      <x:c r="C46" s="20"/>
      <x:c r="D46" s="20"/>
      <x:c r="E46" s="20"/>
      <x:c r="F46" s="20"/>
      <x:c r="G46" s="20"/>
      <x:c r="H46" s="20"/>
      <x:c r="I46" s="20"/>
      <x:c r="J46" s="20"/>
      <x:c r="K46" s="20"/>
      <x:c r="L46" s="20"/>
      <x:c r="M46" s="20"/>
      <x:c r="N46" s="20"/>
      <x:c r="O46" s="20"/>
      <x:c r="P46" s="20"/>
      <x:c r="Q46" s="20"/>
      <x:c r="R46" s="20"/>
      <x:c r="S46" s="20"/>
      <x:c r="T46" s="20"/>
      <x:c r="U46" s="20"/>
      <x:c r="V46" s="20"/>
      <x:c r="W46" s="20"/>
      <x:c r="X46" s="20"/>
      <x:c r="Y46" s="20"/>
      <x:c r="Z46" s="20"/>
    </x:row>
    <x:row r="47">
      <x:c r="A47" s="20"/>
      <x:c r="B47" s="20"/>
      <x:c r="C47" s="20"/>
      <x:c r="D47" s="20"/>
      <x:c r="E47" s="20"/>
      <x:c r="F47" s="20"/>
      <x:c r="G47" s="20"/>
      <x:c r="H47" s="20"/>
      <x:c r="I47" s="20"/>
      <x:c r="J47" s="20"/>
      <x:c r="K47" s="20"/>
      <x:c r="L47" s="20"/>
      <x:c r="M47" s="20"/>
      <x:c r="N47" s="20"/>
      <x:c r="O47" s="20"/>
      <x:c r="P47" s="20"/>
      <x:c r="Q47" s="20"/>
      <x:c r="R47" s="20"/>
      <x:c r="S47" s="20"/>
      <x:c r="T47" s="20"/>
      <x:c r="U47" s="20"/>
      <x:c r="V47" s="20"/>
      <x:c r="W47" s="20"/>
      <x:c r="X47" s="20"/>
      <x:c r="Y47" s="20"/>
      <x:c r="Z47" s="20"/>
    </x:row>
    <x:row r="48">
      <x:c r="A48" s="20"/>
      <x:c r="B48" s="20"/>
      <x:c r="C48" s="20"/>
      <x:c r="D48" s="20"/>
      <x:c r="E48" s="20"/>
      <x:c r="F48" s="20"/>
      <x:c r="G48" s="20"/>
      <x:c r="H48" s="20"/>
      <x:c r="I48" s="20"/>
      <x:c r="J48" s="20"/>
      <x:c r="K48" s="20"/>
      <x:c r="L48" s="20"/>
      <x:c r="M48" s="20"/>
      <x:c r="N48" s="20"/>
      <x:c r="O48" s="20"/>
      <x:c r="P48" s="20"/>
      <x:c r="Q48" s="20"/>
      <x:c r="R48" s="20"/>
      <x:c r="S48" s="20"/>
      <x:c r="T48" s="20"/>
      <x:c r="U48" s="20"/>
      <x:c r="V48" s="20"/>
      <x:c r="W48" s="20"/>
      <x:c r="X48" s="20"/>
      <x:c r="Y48" s="20"/>
      <x:c r="Z48" s="20"/>
    </x:row>
    <x:row r="49">
      <x:c r="A49" s="20"/>
      <x:c r="B49" s="20"/>
      <x:c r="C49" s="20"/>
      <x:c r="D49" s="20"/>
      <x:c r="E49" s="20"/>
      <x:c r="F49" s="20"/>
      <x:c r="G49" s="20"/>
      <x:c r="H49" s="20"/>
      <x:c r="I49" s="20"/>
      <x:c r="J49" s="20"/>
      <x:c r="K49" s="20"/>
      <x:c r="L49" s="20"/>
      <x:c r="M49" s="20"/>
      <x:c r="N49" s="20"/>
      <x:c r="O49" s="20"/>
      <x:c r="P49" s="20"/>
      <x:c r="Q49" s="20"/>
      <x:c r="R49" s="20"/>
      <x:c r="S49" s="20"/>
      <x:c r="T49" s="20"/>
      <x:c r="U49" s="20"/>
      <x:c r="V49" s="20"/>
      <x:c r="W49" s="20"/>
      <x:c r="X49" s="20"/>
      <x:c r="Y49" s="20"/>
      <x:c r="Z49" s="20"/>
    </x:row>
    <x:row r="50">
      <x:c r="A50" s="20"/>
      <x:c r="B50" s="20"/>
      <x:c r="C50" s="20"/>
      <x:c r="D50" s="20"/>
      <x:c r="E50" s="20"/>
      <x:c r="F50" s="20"/>
      <x:c r="G50" s="20"/>
      <x:c r="H50" s="20"/>
      <x:c r="I50" s="20"/>
      <x:c r="J50" s="20"/>
      <x:c r="K50" s="20"/>
      <x:c r="L50" s="20"/>
      <x:c r="M50" s="20"/>
      <x:c r="N50" s="20"/>
      <x:c r="O50" s="20"/>
      <x:c r="P50" s="20"/>
      <x:c r="Q50" s="20"/>
      <x:c r="R50" s="20"/>
      <x:c r="S50" s="20"/>
      <x:c r="T50" s="20"/>
      <x:c r="U50" s="20"/>
      <x:c r="V50" s="20"/>
      <x:c r="W50" s="20"/>
      <x:c r="X50" s="20"/>
      <x:c r="Y50" s="20"/>
      <x:c r="Z50" s="20"/>
    </x:row>
    <x:row r="51">
      <x:c r="A51" s="20"/>
      <x:c r="B51" s="20"/>
      <x:c r="C51" s="20"/>
      <x:c r="D51" s="20"/>
      <x:c r="E51" s="20"/>
      <x:c r="F51" s="20"/>
      <x:c r="G51" s="20"/>
      <x:c r="H51" s="20"/>
      <x:c r="I51" s="20"/>
      <x:c r="J51" s="20"/>
      <x:c r="K51" s="20"/>
      <x:c r="L51" s="20"/>
      <x:c r="M51" s="20"/>
      <x:c r="N51" s="20"/>
      <x:c r="O51" s="20"/>
      <x:c r="P51" s="20"/>
      <x:c r="Q51" s="20"/>
      <x:c r="R51" s="20"/>
      <x:c r="S51" s="20"/>
      <x:c r="T51" s="20"/>
      <x:c r="U51" s="20"/>
      <x:c r="V51" s="20"/>
      <x:c r="W51" s="20"/>
      <x:c r="X51" s="20"/>
      <x:c r="Y51" s="20"/>
      <x:c r="Z51" s="20"/>
    </x:row>
    <x:row r="52">
      <x:c r="A52" s="20"/>
      <x:c r="B52" s="20"/>
      <x:c r="C52" s="20"/>
      <x:c r="D52" s="20"/>
      <x:c r="E52" s="20"/>
      <x:c r="F52" s="20"/>
      <x:c r="G52" s="20"/>
      <x:c r="H52" s="20"/>
      <x:c r="I52" s="20"/>
      <x:c r="J52" s="20"/>
      <x:c r="K52" s="20"/>
      <x:c r="L52" s="20"/>
      <x:c r="M52" s="20"/>
      <x:c r="N52" s="20"/>
      <x:c r="O52" s="20"/>
      <x:c r="P52" s="20"/>
      <x:c r="Q52" s="20"/>
      <x:c r="R52" s="20"/>
      <x:c r="S52" s="20"/>
      <x:c r="T52" s="20"/>
      <x:c r="U52" s="20"/>
      <x:c r="V52" s="20"/>
      <x:c r="W52" s="20"/>
      <x:c r="X52" s="20"/>
      <x:c r="Y52" s="20"/>
      <x:c r="Z52" s="20"/>
    </x:row>
    <x:row r="53">
      <x:c r="A53" s="20"/>
      <x:c r="B53" s="20"/>
      <x:c r="C53" s="20"/>
      <x:c r="D53" s="20"/>
      <x:c r="E53" s="20"/>
      <x:c r="F53" s="20"/>
      <x:c r="G53" s="20"/>
      <x:c r="H53" s="20"/>
      <x:c r="I53" s="20"/>
      <x:c r="J53" s="20"/>
      <x:c r="K53" s="20"/>
      <x:c r="L53" s="20"/>
      <x:c r="M53" s="20"/>
      <x:c r="N53" s="20"/>
      <x:c r="O53" s="20"/>
      <x:c r="P53" s="20"/>
      <x:c r="Q53" s="20"/>
      <x:c r="R53" s="20"/>
      <x:c r="S53" s="20"/>
      <x:c r="T53" s="20"/>
      <x:c r="U53" s="20"/>
      <x:c r="V53" s="20"/>
      <x:c r="W53" s="20"/>
      <x:c r="X53" s="20"/>
      <x:c r="Y53" s="20"/>
      <x:c r="Z53" s="20"/>
    </x:row>
    <x:row r="54">
      <x:c r="A54" s="20"/>
      <x:c r="B54" s="20"/>
      <x:c r="C54" s="20"/>
      <x:c r="D54" s="20"/>
      <x:c r="E54" s="20"/>
      <x:c r="F54" s="20"/>
      <x:c r="G54" s="20"/>
      <x:c r="H54" s="20"/>
      <x:c r="I54" s="20"/>
      <x:c r="J54" s="20"/>
      <x:c r="K54" s="20"/>
      <x:c r="L54" s="20"/>
      <x:c r="M54" s="20"/>
      <x:c r="N54" s="20"/>
      <x:c r="O54" s="20"/>
      <x:c r="P54" s="20"/>
      <x:c r="Q54" s="20"/>
      <x:c r="R54" s="20"/>
      <x:c r="S54" s="20"/>
      <x:c r="T54" s="20"/>
      <x:c r="U54" s="20"/>
      <x:c r="V54" s="20"/>
      <x:c r="W54" s="20"/>
      <x:c r="X54" s="20"/>
      <x:c r="Y54" s="20"/>
      <x:c r="Z54" s="20"/>
    </x:row>
    <x:row r="55">
      <x:c r="A55" s="20"/>
      <x:c r="B55" s="20"/>
      <x:c r="C55" s="20"/>
      <x:c r="D55" s="20"/>
      <x:c r="E55" s="20"/>
      <x:c r="F55" s="20"/>
      <x:c r="G55" s="20"/>
      <x:c r="H55" s="20"/>
      <x:c r="I55" s="20"/>
      <x:c r="J55" s="20"/>
      <x:c r="K55" s="20"/>
      <x:c r="L55" s="20"/>
      <x:c r="M55" s="20"/>
      <x:c r="N55" s="20"/>
      <x:c r="O55" s="20"/>
      <x:c r="P55" s="20"/>
      <x:c r="Q55" s="20"/>
      <x:c r="R55" s="20"/>
      <x:c r="S55" s="20"/>
      <x:c r="T55" s="20"/>
      <x:c r="U55" s="20"/>
      <x:c r="V55" s="20"/>
      <x:c r="W55" s="20"/>
      <x:c r="X55" s="20"/>
      <x:c r="Y55" s="20"/>
      <x:c r="Z55" s="20"/>
    </x:row>
    <x:row r="56">
      <x:c r="A56" s="20"/>
      <x:c r="B56" s="20"/>
      <x:c r="C56" s="20"/>
      <x:c r="D56" s="20"/>
      <x:c r="E56" s="20"/>
      <x:c r="F56" s="20"/>
      <x:c r="G56" s="20"/>
      <x:c r="H56" s="20"/>
      <x:c r="I56" s="20"/>
      <x:c r="J56" s="20"/>
      <x:c r="K56" s="20"/>
      <x:c r="L56" s="20"/>
      <x:c r="M56" s="20"/>
      <x:c r="N56" s="20"/>
      <x:c r="O56" s="20"/>
      <x:c r="P56" s="20"/>
      <x:c r="Q56" s="20"/>
      <x:c r="R56" s="20"/>
      <x:c r="S56" s="20"/>
      <x:c r="T56" s="20"/>
      <x:c r="U56" s="20"/>
      <x:c r="V56" s="20"/>
      <x:c r="W56" s="20"/>
      <x:c r="X56" s="20"/>
      <x:c r="Y56" s="20"/>
      <x:c r="Z56" s="20"/>
    </x:row>
    <x:row r="57">
      <x:c r="A57" s="20"/>
      <x:c r="B57" s="20"/>
      <x:c r="C57" s="20"/>
      <x:c r="D57" s="20"/>
      <x:c r="E57" s="20"/>
      <x:c r="F57" s="20"/>
      <x:c r="G57" s="20"/>
      <x:c r="H57" s="20"/>
      <x:c r="I57" s="20"/>
      <x:c r="J57" s="20"/>
      <x:c r="K57" s="20"/>
      <x:c r="L57" s="20"/>
      <x:c r="M57" s="20"/>
      <x:c r="N57" s="20"/>
      <x:c r="O57" s="20"/>
      <x:c r="P57" s="20"/>
      <x:c r="Q57" s="20"/>
      <x:c r="R57" s="20"/>
      <x:c r="S57" s="20"/>
      <x:c r="T57" s="20"/>
      <x:c r="U57" s="20"/>
      <x:c r="V57" s="20"/>
      <x:c r="W57" s="20"/>
      <x:c r="X57" s="20"/>
      <x:c r="Y57" s="20"/>
      <x:c r="Z57" s="20"/>
    </x:row>
    <x:row r="58">
      <x:c r="A58" s="20"/>
      <x:c r="B58" s="20"/>
      <x:c r="C58" s="20"/>
      <x:c r="D58" s="20"/>
      <x:c r="E58" s="20"/>
      <x:c r="F58" s="20"/>
      <x:c r="G58" s="20"/>
      <x:c r="H58" s="20"/>
      <x:c r="I58" s="20"/>
      <x:c r="J58" s="20"/>
      <x:c r="K58" s="20"/>
      <x:c r="L58" s="20"/>
      <x:c r="M58" s="20"/>
      <x:c r="N58" s="20"/>
      <x:c r="O58" s="20"/>
      <x:c r="P58" s="20"/>
      <x:c r="Q58" s="20"/>
      <x:c r="R58" s="20"/>
      <x:c r="S58" s="20"/>
      <x:c r="T58" s="20"/>
      <x:c r="U58" s="20"/>
      <x:c r="V58" s="20"/>
      <x:c r="W58" s="20"/>
      <x:c r="X58" s="20"/>
      <x:c r="Y58" s="20"/>
      <x:c r="Z58" s="20"/>
    </x:row>
    <x:row r="59">
      <x:c r="A59" s="20"/>
      <x:c r="B59" s="20"/>
      <x:c r="C59" s="20"/>
      <x:c r="D59" s="20"/>
      <x:c r="E59" s="20"/>
      <x:c r="F59" s="20"/>
      <x:c r="G59" s="20"/>
      <x:c r="H59" s="20"/>
      <x:c r="I59" s="20"/>
      <x:c r="J59" s="20"/>
      <x:c r="K59" s="20"/>
      <x:c r="L59" s="20"/>
      <x:c r="M59" s="20"/>
      <x:c r="N59" s="20"/>
      <x:c r="O59" s="20"/>
      <x:c r="P59" s="20"/>
      <x:c r="Q59" s="20"/>
      <x:c r="R59" s="20"/>
      <x:c r="S59" s="20"/>
      <x:c r="T59" s="20"/>
      <x:c r="U59" s="20"/>
      <x:c r="V59" s="20"/>
      <x:c r="W59" s="20"/>
      <x:c r="X59" s="20"/>
      <x:c r="Y59" s="20"/>
      <x:c r="Z59" s="20"/>
    </x:row>
    <x:row r="60">
      <x:c r="A60" s="20"/>
      <x:c r="B60" s="20"/>
      <x:c r="C60" s="20"/>
      <x:c r="D60" s="20"/>
      <x:c r="E60" s="20"/>
      <x:c r="F60" s="20"/>
      <x:c r="G60" s="20"/>
      <x:c r="H60" s="20"/>
      <x:c r="I60" s="20"/>
      <x:c r="J60" s="20"/>
      <x:c r="K60" s="20"/>
      <x:c r="L60" s="20"/>
      <x:c r="M60" s="20"/>
      <x:c r="N60" s="20"/>
      <x:c r="O60" s="20"/>
      <x:c r="P60" s="20"/>
      <x:c r="Q60" s="20"/>
      <x:c r="R60" s="20"/>
      <x:c r="S60" s="20"/>
      <x:c r="T60" s="20"/>
      <x:c r="U60" s="20"/>
      <x:c r="V60" s="20"/>
      <x:c r="W60" s="20"/>
      <x:c r="X60" s="20"/>
      <x:c r="Y60" s="20"/>
      <x:c r="Z60" s="20"/>
    </x:row>
    <x:row r="61">
      <x:c r="A61" s="20"/>
      <x:c r="B61" s="20"/>
      <x:c r="C61" s="20"/>
      <x:c r="D61" s="20"/>
      <x:c r="E61" s="20"/>
      <x:c r="F61" s="20"/>
      <x:c r="G61" s="20"/>
      <x:c r="H61" s="20"/>
      <x:c r="I61" s="20"/>
      <x:c r="J61" s="20"/>
      <x:c r="K61" s="20"/>
      <x:c r="L61" s="20"/>
      <x:c r="M61" s="20"/>
      <x:c r="N61" s="20"/>
      <x:c r="O61" s="20"/>
      <x:c r="P61" s="20"/>
      <x:c r="Q61" s="20"/>
      <x:c r="R61" s="20"/>
      <x:c r="S61" s="20"/>
      <x:c r="T61" s="20"/>
      <x:c r="U61" s="20"/>
      <x:c r="V61" s="20"/>
      <x:c r="W61" s="20"/>
      <x:c r="X61" s="20"/>
      <x:c r="Y61" s="20"/>
      <x:c r="Z61" s="20"/>
    </x:row>
    <x:row r="62">
      <x:c r="A62" s="20"/>
      <x:c r="B62" s="20"/>
      <x:c r="C62" s="20"/>
      <x:c r="D62" s="20"/>
      <x:c r="E62" s="20"/>
      <x:c r="F62" s="20"/>
      <x:c r="G62" s="20"/>
      <x:c r="H62" s="20"/>
      <x:c r="I62" s="20"/>
      <x:c r="J62" s="20"/>
      <x:c r="K62" s="20"/>
      <x:c r="L62" s="20"/>
      <x:c r="M62" s="20"/>
      <x:c r="N62" s="20"/>
      <x:c r="O62" s="20"/>
      <x:c r="P62" s="20"/>
      <x:c r="Q62" s="20"/>
      <x:c r="R62" s="20"/>
      <x:c r="S62" s="20"/>
      <x:c r="T62" s="20"/>
      <x:c r="U62" s="20"/>
      <x:c r="V62" s="20"/>
      <x:c r="W62" s="20"/>
      <x:c r="X62" s="20"/>
      <x:c r="Y62" s="20"/>
      <x:c r="Z62" s="20"/>
    </x:row>
    <x:row r="63">
      <x:c r="A63" s="20"/>
      <x:c r="B63" s="20"/>
      <x:c r="C63" s="20"/>
      <x:c r="D63" s="20"/>
      <x:c r="E63" s="20"/>
      <x:c r="F63" s="20"/>
      <x:c r="G63" s="20"/>
      <x:c r="H63" s="20"/>
      <x:c r="I63" s="20"/>
      <x:c r="J63" s="20"/>
      <x:c r="K63" s="20"/>
      <x:c r="L63" s="20"/>
      <x:c r="M63" s="20"/>
      <x:c r="N63" s="20"/>
      <x:c r="O63" s="20"/>
      <x:c r="P63" s="20"/>
      <x:c r="Q63" s="20"/>
      <x:c r="R63" s="20"/>
      <x:c r="S63" s="20"/>
      <x:c r="T63" s="20"/>
      <x:c r="U63" s="20"/>
      <x:c r="V63" s="20"/>
      <x:c r="W63" s="20"/>
      <x:c r="X63" s="20"/>
      <x:c r="Y63" s="20"/>
      <x:c r="Z63" s="20"/>
    </x:row>
    <x:row r="64">
      <x:c r="A64" s="20"/>
      <x:c r="B64" s="20"/>
      <x:c r="C64" s="20"/>
      <x:c r="D64" s="20"/>
      <x:c r="E64" s="20"/>
      <x:c r="F64" s="20"/>
      <x:c r="G64" s="20"/>
      <x:c r="H64" s="20"/>
      <x:c r="I64" s="20"/>
      <x:c r="J64" s="20"/>
      <x:c r="K64" s="20"/>
      <x:c r="L64" s="20"/>
      <x:c r="M64" s="20"/>
      <x:c r="N64" s="20"/>
      <x:c r="O64" s="20"/>
      <x:c r="P64" s="20"/>
      <x:c r="Q64" s="20"/>
      <x:c r="R64" s="20"/>
      <x:c r="S64" s="20"/>
      <x:c r="T64" s="20"/>
      <x:c r="U64" s="20"/>
      <x:c r="V64" s="20"/>
      <x:c r="W64" s="20"/>
      <x:c r="X64" s="20"/>
      <x:c r="Y64" s="20"/>
      <x:c r="Z64" s="20"/>
    </x:row>
    <x:row r="65">
      <x:c r="A65" s="20"/>
      <x:c r="B65" s="20"/>
      <x:c r="C65" s="20"/>
      <x:c r="D65" s="20"/>
      <x:c r="E65" s="20"/>
      <x:c r="F65" s="20"/>
      <x:c r="G65" s="20"/>
      <x:c r="H65" s="20"/>
      <x:c r="I65" s="20"/>
      <x:c r="J65" s="20"/>
      <x:c r="K65" s="20"/>
      <x:c r="L65" s="20"/>
      <x:c r="M65" s="20"/>
      <x:c r="N65" s="20"/>
      <x:c r="O65" s="20"/>
      <x:c r="P65" s="20"/>
      <x:c r="Q65" s="20"/>
      <x:c r="R65" s="20"/>
      <x:c r="S65" s="20"/>
      <x:c r="T65" s="20"/>
      <x:c r="U65" s="20"/>
      <x:c r="V65" s="20"/>
      <x:c r="W65" s="20"/>
      <x:c r="X65" s="20"/>
      <x:c r="Y65" s="20"/>
      <x:c r="Z65" s="20"/>
    </x:row>
    <x:row r="66">
      <x:c r="A66" s="20"/>
      <x:c r="B66" s="20"/>
      <x:c r="C66" s="20"/>
      <x:c r="D66" s="20"/>
      <x:c r="E66" s="20"/>
      <x:c r="F66" s="20"/>
      <x:c r="G66" s="20"/>
      <x:c r="H66" s="20"/>
      <x:c r="I66" s="20"/>
      <x:c r="J66" s="20"/>
      <x:c r="K66" s="20"/>
      <x:c r="L66" s="20"/>
      <x:c r="M66" s="20"/>
      <x:c r="N66" s="20"/>
      <x:c r="O66" s="20"/>
      <x:c r="P66" s="20"/>
      <x:c r="Q66" s="20"/>
      <x:c r="R66" s="20"/>
      <x:c r="S66" s="20"/>
      <x:c r="T66" s="20"/>
      <x:c r="U66" s="20"/>
      <x:c r="V66" s="20"/>
      <x:c r="W66" s="20"/>
      <x:c r="X66" s="20"/>
      <x:c r="Y66" s="20"/>
      <x:c r="Z66" s="20"/>
    </x:row>
    <x:row r="67">
      <x:c r="A67" s="20"/>
      <x:c r="B67" s="20"/>
      <x:c r="C67" s="20"/>
      <x:c r="D67" s="20"/>
      <x:c r="E67" s="20"/>
      <x:c r="F67" s="20"/>
      <x:c r="G67" s="20"/>
      <x:c r="H67" s="20"/>
      <x:c r="I67" s="20"/>
      <x:c r="J67" s="20"/>
      <x:c r="K67" s="20"/>
      <x:c r="L67" s="20"/>
      <x:c r="M67" s="20"/>
      <x:c r="N67" s="20"/>
      <x:c r="O67" s="20"/>
      <x:c r="P67" s="20"/>
      <x:c r="Q67" s="20"/>
      <x:c r="R67" s="20"/>
      <x:c r="S67" s="20"/>
      <x:c r="T67" s="20"/>
      <x:c r="U67" s="20"/>
      <x:c r="V67" s="20"/>
      <x:c r="W67" s="20"/>
      <x:c r="X67" s="20"/>
      <x:c r="Y67" s="20"/>
      <x:c r="Z67" s="20"/>
    </x:row>
    <x:row r="68">
      <x:c r="A68" s="20"/>
      <x:c r="B68" s="20"/>
      <x:c r="C68" s="20"/>
      <x:c r="D68" s="20"/>
      <x:c r="E68" s="20"/>
      <x:c r="F68" s="20"/>
      <x:c r="G68" s="20"/>
      <x:c r="H68" s="20"/>
      <x:c r="I68" s="20"/>
      <x:c r="J68" s="20"/>
      <x:c r="K68" s="20"/>
      <x:c r="L68" s="20"/>
      <x:c r="M68" s="20"/>
      <x:c r="N68" s="20"/>
      <x:c r="O68" s="20"/>
      <x:c r="P68" s="20"/>
      <x:c r="Q68" s="20"/>
      <x:c r="R68" s="20"/>
      <x:c r="S68" s="20"/>
      <x:c r="T68" s="20"/>
      <x:c r="U68" s="20"/>
      <x:c r="V68" s="20"/>
      <x:c r="W68" s="20"/>
      <x:c r="X68" s="20"/>
      <x:c r="Y68" s="20"/>
      <x:c r="Z68" s="20"/>
    </x:row>
    <x:row r="69">
      <x:c r="A69" s="20"/>
      <x:c r="B69" s="20"/>
      <x:c r="C69" s="20"/>
      <x:c r="D69" s="20"/>
      <x:c r="E69" s="20"/>
      <x:c r="F69" s="20"/>
      <x:c r="G69" s="20"/>
      <x:c r="H69" s="20"/>
      <x:c r="I69" s="20"/>
      <x:c r="J69" s="20"/>
      <x:c r="K69" s="20"/>
      <x:c r="L69" s="20"/>
      <x:c r="M69" s="20"/>
      <x:c r="N69" s="20"/>
      <x:c r="O69" s="20"/>
      <x:c r="P69" s="20"/>
      <x:c r="Q69" s="20"/>
      <x:c r="R69" s="20"/>
      <x:c r="S69" s="20"/>
      <x:c r="T69" s="20"/>
      <x:c r="U69" s="20"/>
      <x:c r="V69" s="20"/>
      <x:c r="W69" s="20"/>
      <x:c r="X69" s="20"/>
      <x:c r="Y69" s="20"/>
      <x:c r="Z69" s="20"/>
    </x:row>
    <x:row r="70">
      <x:c r="A70" s="20"/>
      <x:c r="B70" s="20"/>
      <x:c r="C70" s="20"/>
      <x:c r="D70" s="20"/>
      <x:c r="E70" s="20"/>
      <x:c r="F70" s="20"/>
      <x:c r="G70" s="20"/>
      <x:c r="H70" s="20"/>
      <x:c r="I70" s="20"/>
      <x:c r="J70" s="20"/>
      <x:c r="K70" s="20"/>
      <x:c r="L70" s="20"/>
      <x:c r="M70" s="20"/>
      <x:c r="N70" s="20"/>
      <x:c r="O70" s="20"/>
      <x:c r="P70" s="20"/>
      <x:c r="Q70" s="20"/>
      <x:c r="R70" s="20"/>
      <x:c r="S70" s="20"/>
      <x:c r="T70" s="20"/>
      <x:c r="U70" s="20"/>
      <x:c r="V70" s="20"/>
      <x:c r="W70" s="20"/>
      <x:c r="X70" s="20"/>
      <x:c r="Y70" s="20"/>
      <x:c r="Z70" s="20"/>
    </x:row>
    <x:row r="71">
      <x:c r="A71" s="20"/>
      <x:c r="B71" s="20"/>
      <x:c r="C71" s="20"/>
      <x:c r="D71" s="20"/>
      <x:c r="E71" s="20"/>
      <x:c r="F71" s="20"/>
      <x:c r="G71" s="20"/>
      <x:c r="H71" s="20"/>
      <x:c r="I71" s="20"/>
      <x:c r="J71" s="20"/>
      <x:c r="K71" s="20"/>
      <x:c r="L71" s="20"/>
      <x:c r="M71" s="20"/>
      <x:c r="N71" s="20"/>
      <x:c r="O71" s="20"/>
      <x:c r="P71" s="20"/>
      <x:c r="Q71" s="20"/>
      <x:c r="R71" s="20"/>
      <x:c r="S71" s="20"/>
      <x:c r="T71" s="20"/>
      <x:c r="U71" s="20"/>
      <x:c r="V71" s="20"/>
      <x:c r="W71" s="20"/>
      <x:c r="X71" s="20"/>
      <x:c r="Y71" s="20"/>
      <x:c r="Z71" s="20"/>
    </x:row>
    <x:row r="72">
      <x:c r="A72" s="20"/>
      <x:c r="B72" s="20"/>
      <x:c r="C72" s="20"/>
      <x:c r="D72" s="20"/>
      <x:c r="E72" s="20"/>
      <x:c r="F72" s="20"/>
      <x:c r="G72" s="20"/>
      <x:c r="H72" s="20"/>
      <x:c r="I72" s="20"/>
      <x:c r="J72" s="20"/>
      <x:c r="K72" s="20"/>
      <x:c r="L72" s="20"/>
      <x:c r="M72" s="20"/>
      <x:c r="N72" s="20"/>
      <x:c r="O72" s="20"/>
      <x:c r="P72" s="20"/>
      <x:c r="Q72" s="20"/>
      <x:c r="R72" s="20"/>
      <x:c r="S72" s="20"/>
      <x:c r="T72" s="20"/>
      <x:c r="U72" s="20"/>
      <x:c r="V72" s="20"/>
      <x:c r="W72" s="20"/>
      <x:c r="X72" s="20"/>
      <x:c r="Y72" s="20"/>
      <x:c r="Z72" s="20"/>
    </x:row>
    <x:row r="73">
      <x:c r="A73" s="20"/>
      <x:c r="B73" s="20"/>
      <x:c r="C73" s="20"/>
      <x:c r="D73" s="20"/>
      <x:c r="E73" s="20"/>
      <x:c r="F73" s="20"/>
      <x:c r="G73" s="20"/>
      <x:c r="H73" s="20"/>
      <x:c r="I73" s="20"/>
      <x:c r="J73" s="20"/>
      <x:c r="K73" s="20"/>
      <x:c r="L73" s="20"/>
      <x:c r="M73" s="20"/>
      <x:c r="N73" s="20"/>
      <x:c r="O73" s="20"/>
      <x:c r="P73" s="20"/>
      <x:c r="Q73" s="20"/>
      <x:c r="R73" s="20"/>
      <x:c r="S73" s="20"/>
      <x:c r="T73" s="20"/>
      <x:c r="U73" s="20"/>
      <x:c r="V73" s="20"/>
      <x:c r="W73" s="20"/>
      <x:c r="X73" s="20"/>
      <x:c r="Y73" s="20"/>
      <x:c r="Z73" s="20"/>
    </x:row>
    <x:row r="74">
      <x:c r="A74" s="20"/>
      <x:c r="B74" s="20"/>
      <x:c r="C74" s="20"/>
      <x:c r="D74" s="20"/>
      <x:c r="E74" s="20"/>
      <x:c r="F74" s="20"/>
      <x:c r="G74" s="20"/>
      <x:c r="H74" s="20"/>
      <x:c r="I74" s="20"/>
      <x:c r="J74" s="20"/>
      <x:c r="K74" s="20"/>
      <x:c r="L74" s="20"/>
      <x:c r="M74" s="20"/>
      <x:c r="N74" s="20"/>
      <x:c r="O74" s="20"/>
      <x:c r="P74" s="20"/>
      <x:c r="Q74" s="20"/>
      <x:c r="R74" s="20"/>
      <x:c r="S74" s="20"/>
      <x:c r="T74" s="20"/>
      <x:c r="U74" s="20"/>
      <x:c r="V74" s="20"/>
      <x:c r="W74" s="20"/>
      <x:c r="X74" s="20"/>
      <x:c r="Y74" s="20"/>
      <x:c r="Z74" s="20"/>
    </x:row>
    <x:row r="75">
      <x:c r="A75" s="20"/>
      <x:c r="B75" s="20"/>
      <x:c r="C75" s="20"/>
      <x:c r="D75" s="20"/>
      <x:c r="E75" s="20"/>
      <x:c r="F75" s="20"/>
      <x:c r="G75" s="20"/>
      <x:c r="H75" s="20"/>
      <x:c r="I75" s="20"/>
      <x:c r="J75" s="20"/>
      <x:c r="K75" s="20"/>
      <x:c r="L75" s="20"/>
      <x:c r="M75" s="20"/>
      <x:c r="N75" s="20"/>
      <x:c r="O75" s="20"/>
      <x:c r="P75" s="20"/>
      <x:c r="Q75" s="20"/>
      <x:c r="R75" s="20"/>
      <x:c r="S75" s="20"/>
      <x:c r="T75" s="20"/>
      <x:c r="U75" s="20"/>
      <x:c r="V75" s="20"/>
      <x:c r="W75" s="20"/>
      <x:c r="X75" s="20"/>
      <x:c r="Y75" s="20"/>
      <x:c r="Z75" s="20"/>
    </x:row>
    <x:row r="76">
      <x:c r="A76" s="20"/>
      <x:c r="B76" s="20"/>
      <x:c r="C76" s="20"/>
      <x:c r="D76" s="20"/>
      <x:c r="E76" s="20"/>
      <x:c r="F76" s="20"/>
      <x:c r="G76" s="20"/>
      <x:c r="H76" s="20"/>
      <x:c r="I76" s="20"/>
      <x:c r="J76" s="20"/>
      <x:c r="K76" s="20"/>
      <x:c r="L76" s="20"/>
      <x:c r="M76" s="20"/>
      <x:c r="N76" s="20"/>
      <x:c r="O76" s="20"/>
      <x:c r="P76" s="20"/>
      <x:c r="Q76" s="20"/>
      <x:c r="R76" s="20"/>
      <x:c r="S76" s="20"/>
      <x:c r="T76" s="20"/>
      <x:c r="U76" s="20"/>
      <x:c r="V76" s="20"/>
      <x:c r="W76" s="20"/>
      <x:c r="X76" s="20"/>
      <x:c r="Y76" s="20"/>
      <x:c r="Z76" s="20"/>
    </x:row>
    <x:row r="77">
      <x:c r="A77" s="20"/>
      <x:c r="B77" s="20"/>
      <x:c r="C77" s="20"/>
      <x:c r="D77" s="20"/>
      <x:c r="E77" s="20"/>
      <x:c r="F77" s="20"/>
      <x:c r="G77" s="20"/>
      <x:c r="H77" s="20"/>
      <x:c r="I77" s="20"/>
      <x:c r="J77" s="20"/>
      <x:c r="K77" s="20"/>
      <x:c r="L77" s="20"/>
      <x:c r="M77" s="20"/>
      <x:c r="N77" s="20"/>
      <x:c r="O77" s="20"/>
      <x:c r="P77" s="20"/>
      <x:c r="Q77" s="20"/>
      <x:c r="R77" s="20"/>
      <x:c r="S77" s="20"/>
      <x:c r="T77" s="20"/>
      <x:c r="U77" s="20"/>
      <x:c r="V77" s="20"/>
      <x:c r="W77" s="20"/>
      <x:c r="X77" s="20"/>
      <x:c r="Y77" s="20"/>
      <x:c r="Z77" s="20"/>
    </x:row>
    <x:row r="78">
      <x:c r="A78" s="20"/>
      <x:c r="B78" s="20"/>
      <x:c r="C78" s="20"/>
      <x:c r="D78" s="20"/>
      <x:c r="E78" s="20"/>
      <x:c r="F78" s="20"/>
      <x:c r="G78" s="20"/>
      <x:c r="H78" s="20"/>
      <x:c r="I78" s="20"/>
      <x:c r="J78" s="20"/>
      <x:c r="K78" s="20"/>
      <x:c r="L78" s="20"/>
      <x:c r="M78" s="20"/>
      <x:c r="N78" s="20"/>
      <x:c r="O78" s="20"/>
      <x:c r="P78" s="20"/>
      <x:c r="Q78" s="20"/>
      <x:c r="R78" s="20"/>
      <x:c r="S78" s="20"/>
      <x:c r="T78" s="20"/>
      <x:c r="U78" s="20"/>
      <x:c r="V78" s="20"/>
      <x:c r="W78" s="20"/>
      <x:c r="X78" s="20"/>
      <x:c r="Y78" s="20"/>
      <x:c r="Z78" s="20"/>
    </x:row>
    <x:row r="79">
      <x:c r="A79" s="20"/>
      <x:c r="B79" s="20"/>
      <x:c r="C79" s="20"/>
      <x:c r="D79" s="20"/>
      <x:c r="E79" s="20"/>
      <x:c r="F79" s="20"/>
      <x:c r="G79" s="20"/>
      <x:c r="H79" s="20"/>
      <x:c r="I79" s="20"/>
      <x:c r="J79" s="20"/>
      <x:c r="K79" s="20"/>
      <x:c r="L79" s="20"/>
      <x:c r="M79" s="20"/>
      <x:c r="N79" s="20"/>
      <x:c r="O79" s="20"/>
      <x:c r="P79" s="20"/>
      <x:c r="Q79" s="20"/>
      <x:c r="R79" s="20"/>
      <x:c r="S79" s="20"/>
      <x:c r="T79" s="20"/>
      <x:c r="U79" s="20"/>
      <x:c r="V79" s="20"/>
      <x:c r="W79" s="20"/>
      <x:c r="X79" s="20"/>
      <x:c r="Y79" s="20"/>
      <x:c r="Z79" s="20"/>
    </x:row>
    <x:row r="80">
      <x:c r="A80" s="20"/>
      <x:c r="B80" s="20"/>
      <x:c r="C80" s="20"/>
      <x:c r="D80" s="20"/>
      <x:c r="E80" s="20"/>
      <x:c r="F80" s="20"/>
      <x:c r="G80" s="20"/>
      <x:c r="H80" s="20"/>
      <x:c r="I80" s="20"/>
      <x:c r="J80" s="20"/>
      <x:c r="K80" s="20"/>
      <x:c r="L80" s="20"/>
      <x:c r="M80" s="20"/>
      <x:c r="N80" s="20"/>
      <x:c r="O80" s="20"/>
      <x:c r="P80" s="20"/>
      <x:c r="Q80" s="20"/>
      <x:c r="R80" s="20"/>
      <x:c r="S80" s="20"/>
      <x:c r="T80" s="20"/>
      <x:c r="U80" s="20"/>
      <x:c r="V80" s="20"/>
      <x:c r="W80" s="20"/>
      <x:c r="X80" s="20"/>
      <x:c r="Y80" s="20"/>
      <x:c r="Z80" s="20"/>
    </x:row>
    <x:row r="81">
      <x:c r="A81" s="20"/>
      <x:c r="B81" s="20"/>
      <x:c r="C81" s="20"/>
      <x:c r="D81" s="20"/>
      <x:c r="E81" s="20"/>
      <x:c r="F81" s="20"/>
      <x:c r="G81" s="20"/>
      <x:c r="H81" s="20"/>
      <x:c r="I81" s="20"/>
      <x:c r="J81" s="20"/>
      <x:c r="K81" s="20"/>
      <x:c r="L81" s="20"/>
      <x:c r="M81" s="20"/>
      <x:c r="N81" s="20"/>
      <x:c r="O81" s="20"/>
      <x:c r="P81" s="20"/>
      <x:c r="Q81" s="20"/>
      <x:c r="R81" s="20"/>
      <x:c r="S81" s="20"/>
      <x:c r="T81" s="20"/>
      <x:c r="U81" s="20"/>
      <x:c r="V81" s="20"/>
      <x:c r="W81" s="20"/>
      <x:c r="X81" s="20"/>
      <x:c r="Y81" s="20"/>
      <x:c r="Z81" s="20"/>
    </x:row>
    <x:row r="82">
      <x:c r="A82" s="20"/>
      <x:c r="B82" s="20"/>
      <x:c r="C82" s="20"/>
      <x:c r="D82" s="20"/>
      <x:c r="E82" s="20"/>
      <x:c r="F82" s="20"/>
      <x:c r="G82" s="20"/>
      <x:c r="H82" s="20"/>
      <x:c r="I82" s="20"/>
      <x:c r="J82" s="20"/>
      <x:c r="K82" s="20"/>
      <x:c r="L82" s="20"/>
      <x:c r="M82" s="20"/>
      <x:c r="N82" s="20"/>
      <x:c r="O82" s="20"/>
      <x:c r="P82" s="20"/>
      <x:c r="Q82" s="20"/>
      <x:c r="R82" s="20"/>
      <x:c r="S82" s="20"/>
      <x:c r="T82" s="20"/>
      <x:c r="U82" s="20"/>
      <x:c r="V82" s="20"/>
      <x:c r="W82" s="20"/>
      <x:c r="X82" s="20"/>
      <x:c r="Y82" s="20"/>
      <x:c r="Z82" s="20"/>
    </x:row>
    <x:row r="83">
      <x:c r="A83" s="20"/>
      <x:c r="B83" s="20"/>
      <x:c r="C83" s="20"/>
      <x:c r="D83" s="20"/>
      <x:c r="E83" s="20"/>
      <x:c r="F83" s="20"/>
      <x:c r="G83" s="20"/>
      <x:c r="H83" s="20"/>
      <x:c r="I83" s="20"/>
      <x:c r="J83" s="20"/>
      <x:c r="K83" s="20"/>
      <x:c r="L83" s="20"/>
      <x:c r="M83" s="20"/>
      <x:c r="N83" s="20"/>
      <x:c r="O83" s="20"/>
      <x:c r="P83" s="20"/>
      <x:c r="Q83" s="20"/>
      <x:c r="R83" s="20"/>
      <x:c r="S83" s="20"/>
      <x:c r="T83" s="20"/>
      <x:c r="U83" s="20"/>
      <x:c r="V83" s="20"/>
      <x:c r="W83" s="20"/>
      <x:c r="X83" s="20"/>
      <x:c r="Y83" s="20"/>
      <x:c r="Z83" s="20"/>
    </x:row>
    <x:row r="84">
      <x:c r="A84" s="20"/>
      <x:c r="B84" s="20"/>
      <x:c r="C84" s="20"/>
      <x:c r="D84" s="20"/>
      <x:c r="E84" s="20"/>
      <x:c r="F84" s="20"/>
      <x:c r="G84" s="20"/>
      <x:c r="H84" s="20"/>
      <x:c r="I84" s="20"/>
      <x:c r="J84" s="20"/>
      <x:c r="K84" s="20"/>
      <x:c r="L84" s="20"/>
      <x:c r="M84" s="20"/>
      <x:c r="N84" s="20"/>
      <x:c r="O84" s="20"/>
      <x:c r="P84" s="20"/>
      <x:c r="Q84" s="20"/>
      <x:c r="R84" s="20"/>
      <x:c r="S84" s="20"/>
      <x:c r="T84" s="20"/>
      <x:c r="U84" s="20"/>
      <x:c r="V84" s="20"/>
      <x:c r="W84" s="20"/>
      <x:c r="X84" s="20"/>
      <x:c r="Y84" s="20"/>
      <x:c r="Z84" s="20"/>
    </x:row>
    <x:row r="85">
      <x:c r="A85" s="20"/>
      <x:c r="B85" s="20"/>
      <x:c r="C85" s="20"/>
      <x:c r="D85" s="20"/>
      <x:c r="E85" s="20"/>
      <x:c r="F85" s="20"/>
      <x:c r="G85" s="20"/>
      <x:c r="H85" s="20"/>
      <x:c r="I85" s="20"/>
      <x:c r="J85" s="20"/>
      <x:c r="K85" s="20"/>
      <x:c r="L85" s="20"/>
      <x:c r="M85" s="20"/>
      <x:c r="N85" s="20"/>
      <x:c r="O85" s="20"/>
      <x:c r="P85" s="20"/>
      <x:c r="Q85" s="20"/>
      <x:c r="R85" s="20"/>
      <x:c r="S85" s="20"/>
      <x:c r="T85" s="20"/>
      <x:c r="U85" s="20"/>
      <x:c r="V85" s="20"/>
      <x:c r="W85" s="20"/>
      <x:c r="X85" s="20"/>
      <x:c r="Y85" s="20"/>
      <x:c r="Z85" s="20"/>
    </x:row>
    <x:row r="86">
      <x:c r="A86" s="20"/>
      <x:c r="B86" s="20"/>
      <x:c r="C86" s="20"/>
      <x:c r="D86" s="20"/>
      <x:c r="E86" s="20"/>
      <x:c r="F86" s="20"/>
      <x:c r="G86" s="20"/>
      <x:c r="H86" s="20"/>
      <x:c r="I86" s="20"/>
      <x:c r="J86" s="20"/>
      <x:c r="K86" s="20"/>
      <x:c r="L86" s="20"/>
      <x:c r="M86" s="20"/>
      <x:c r="N86" s="20"/>
      <x:c r="O86" s="20"/>
      <x:c r="P86" s="20"/>
      <x:c r="Q86" s="20"/>
      <x:c r="R86" s="20"/>
      <x:c r="S86" s="20"/>
      <x:c r="T86" s="20"/>
      <x:c r="U86" s="20"/>
      <x:c r="V86" s="20"/>
      <x:c r="W86" s="20"/>
      <x:c r="X86" s="20"/>
      <x:c r="Y86" s="20"/>
      <x:c r="Z86" s="20"/>
    </x:row>
    <x:row r="87">
      <x:c r="A87" s="20"/>
      <x:c r="B87" s="20"/>
      <x:c r="C87" s="20"/>
      <x:c r="D87" s="20"/>
      <x:c r="E87" s="20"/>
      <x:c r="F87" s="20"/>
      <x:c r="G87" s="20"/>
      <x:c r="H87" s="20"/>
      <x:c r="I87" s="20"/>
      <x:c r="J87" s="20"/>
      <x:c r="K87" s="20"/>
      <x:c r="L87" s="20"/>
      <x:c r="M87" s="20"/>
      <x:c r="N87" s="20"/>
      <x:c r="O87" s="20"/>
      <x:c r="P87" s="20"/>
      <x:c r="Q87" s="20"/>
      <x:c r="R87" s="20"/>
      <x:c r="S87" s="20"/>
      <x:c r="T87" s="20"/>
      <x:c r="U87" s="20"/>
      <x:c r="V87" s="20"/>
      <x:c r="W87" s="20"/>
      <x:c r="X87" s="20"/>
      <x:c r="Y87" s="20"/>
      <x:c r="Z87" s="20"/>
    </x:row>
    <x:row r="88">
      <x:c r="A88" s="20"/>
      <x:c r="B88" s="20"/>
      <x:c r="C88" s="20"/>
      <x:c r="D88" s="20"/>
      <x:c r="E88" s="20"/>
      <x:c r="F88" s="20"/>
      <x:c r="G88" s="20"/>
      <x:c r="H88" s="20"/>
      <x:c r="I88" s="20"/>
      <x:c r="J88" s="20"/>
      <x:c r="K88" s="20"/>
      <x:c r="L88" s="20"/>
      <x:c r="M88" s="20"/>
      <x:c r="N88" s="20"/>
      <x:c r="O88" s="20"/>
      <x:c r="P88" s="20"/>
      <x:c r="Q88" s="20"/>
      <x:c r="R88" s="20"/>
      <x:c r="S88" s="20"/>
      <x:c r="T88" s="20"/>
      <x:c r="U88" s="20"/>
      <x:c r="V88" s="20"/>
      <x:c r="W88" s="20"/>
      <x:c r="X88" s="20"/>
      <x:c r="Y88" s="20"/>
      <x:c r="Z88" s="20"/>
    </x:row>
    <x:row r="89">
      <x:c r="A89" s="20"/>
      <x:c r="B89" s="20"/>
      <x:c r="C89" s="20"/>
      <x:c r="D89" s="20"/>
      <x:c r="E89" s="20"/>
      <x:c r="F89" s="20"/>
      <x:c r="G89" s="20"/>
      <x:c r="H89" s="20"/>
      <x:c r="I89" s="20"/>
      <x:c r="J89" s="20"/>
      <x:c r="K89" s="20"/>
      <x:c r="L89" s="20"/>
      <x:c r="M89" s="20"/>
      <x:c r="N89" s="20"/>
      <x:c r="O89" s="20"/>
      <x:c r="P89" s="20"/>
      <x:c r="Q89" s="20"/>
      <x:c r="R89" s="20"/>
      <x:c r="S89" s="20"/>
      <x:c r="T89" s="20"/>
      <x:c r="U89" s="20"/>
      <x:c r="V89" s="20"/>
      <x:c r="W89" s="20"/>
      <x:c r="X89" s="20"/>
      <x:c r="Y89" s="20"/>
      <x:c r="Z89" s="20"/>
    </x:row>
    <x:row r="90">
      <x:c r="A90" s="20"/>
      <x:c r="B90" s="20"/>
      <x:c r="C90" s="20"/>
      <x:c r="D90" s="20"/>
      <x:c r="E90" s="20"/>
      <x:c r="F90" s="20"/>
      <x:c r="G90" s="20"/>
      <x:c r="H90" s="20"/>
      <x:c r="I90" s="20"/>
      <x:c r="J90" s="20"/>
      <x:c r="K90" s="20"/>
      <x:c r="L90" s="20"/>
      <x:c r="M90" s="20"/>
      <x:c r="N90" s="20"/>
      <x:c r="O90" s="20"/>
      <x:c r="P90" s="20"/>
      <x:c r="Q90" s="20"/>
      <x:c r="R90" s="20"/>
      <x:c r="S90" s="20"/>
      <x:c r="T90" s="20"/>
      <x:c r="U90" s="20"/>
      <x:c r="V90" s="20"/>
      <x:c r="W90" s="20"/>
      <x:c r="X90" s="20"/>
      <x:c r="Y90" s="20"/>
      <x:c r="Z90" s="20"/>
    </x:row>
    <x:row r="91">
      <x:c r="A91" s="20"/>
      <x:c r="B91" s="20"/>
      <x:c r="C91" s="20"/>
      <x:c r="D91" s="20"/>
      <x:c r="E91" s="20"/>
      <x:c r="F91" s="20"/>
      <x:c r="G91" s="20"/>
      <x:c r="H91" s="20"/>
      <x:c r="I91" s="20"/>
      <x:c r="J91" s="20"/>
      <x:c r="K91" s="20"/>
      <x:c r="L91" s="20"/>
      <x:c r="M91" s="20"/>
      <x:c r="N91" s="20"/>
      <x:c r="O91" s="20"/>
      <x:c r="P91" s="20"/>
      <x:c r="Q91" s="20"/>
      <x:c r="R91" s="20"/>
      <x:c r="S91" s="20"/>
      <x:c r="T91" s="20"/>
      <x:c r="U91" s="20"/>
      <x:c r="V91" s="20"/>
      <x:c r="W91" s="20"/>
      <x:c r="X91" s="20"/>
      <x:c r="Y91" s="20"/>
      <x:c r="Z91" s="20"/>
    </x:row>
    <x:row r="92">
      <x:c r="A92" s="20"/>
      <x:c r="B92" s="20"/>
      <x:c r="C92" s="20"/>
      <x:c r="D92" s="20"/>
      <x:c r="E92" s="20"/>
      <x:c r="F92" s="20"/>
      <x:c r="G92" s="20"/>
      <x:c r="H92" s="20"/>
      <x:c r="I92" s="20"/>
      <x:c r="J92" s="20"/>
      <x:c r="K92" s="20"/>
      <x:c r="L92" s="20"/>
      <x:c r="M92" s="20"/>
      <x:c r="N92" s="20"/>
      <x:c r="O92" s="20"/>
      <x:c r="P92" s="20"/>
      <x:c r="Q92" s="20"/>
      <x:c r="R92" s="20"/>
      <x:c r="S92" s="20"/>
      <x:c r="T92" s="20"/>
      <x:c r="U92" s="20"/>
      <x:c r="V92" s="20"/>
      <x:c r="W92" s="20"/>
      <x:c r="X92" s="20"/>
      <x:c r="Y92" s="20"/>
      <x:c r="Z92" s="20"/>
    </x:row>
    <x:row r="93">
      <x:c r="A93" s="20"/>
      <x:c r="B93" s="20"/>
      <x:c r="C93" s="20"/>
      <x:c r="D93" s="20"/>
      <x:c r="E93" s="20"/>
      <x:c r="F93" s="20"/>
      <x:c r="G93" s="20"/>
      <x:c r="H93" s="20"/>
      <x:c r="I93" s="20"/>
      <x:c r="J93" s="20"/>
      <x:c r="K93" s="20"/>
      <x:c r="L93" s="20"/>
      <x:c r="M93" s="20"/>
      <x:c r="N93" s="20"/>
      <x:c r="O93" s="20"/>
      <x:c r="P93" s="20"/>
      <x:c r="Q93" s="20"/>
      <x:c r="R93" s="20"/>
      <x:c r="S93" s="20"/>
      <x:c r="T93" s="20"/>
      <x:c r="U93" s="20"/>
      <x:c r="V93" s="20"/>
      <x:c r="W93" s="20"/>
      <x:c r="X93" s="20"/>
      <x:c r="Y93" s="20"/>
      <x:c r="Z93" s="20"/>
    </x:row>
    <x:row r="94">
      <x:c r="A94" s="20"/>
      <x:c r="B94" s="20"/>
      <x:c r="C94" s="20"/>
      <x:c r="D94" s="20"/>
      <x:c r="E94" s="20"/>
      <x:c r="F94" s="20"/>
      <x:c r="G94" s="20"/>
      <x:c r="H94" s="20"/>
      <x:c r="I94" s="20"/>
      <x:c r="J94" s="20"/>
      <x:c r="K94" s="20"/>
      <x:c r="L94" s="20"/>
      <x:c r="M94" s="20"/>
      <x:c r="N94" s="20"/>
      <x:c r="O94" s="20"/>
      <x:c r="P94" s="20"/>
      <x:c r="Q94" s="20"/>
      <x:c r="R94" s="20"/>
      <x:c r="S94" s="20"/>
      <x:c r="T94" s="20"/>
      <x:c r="U94" s="20"/>
      <x:c r="V94" s="20"/>
      <x:c r="W94" s="20"/>
      <x:c r="X94" s="20"/>
      <x:c r="Y94" s="20"/>
      <x:c r="Z94" s="20"/>
    </x:row>
    <x:row r="95">
      <x:c r="A95" s="20"/>
      <x:c r="B95" s="20"/>
      <x:c r="C95" s="20"/>
      <x:c r="D95" s="20"/>
      <x:c r="E95" s="20"/>
      <x:c r="F95" s="20"/>
      <x:c r="G95" s="20"/>
      <x:c r="H95" s="20"/>
      <x:c r="I95" s="20"/>
      <x:c r="J95" s="20"/>
      <x:c r="K95" s="20"/>
      <x:c r="L95" s="20"/>
      <x:c r="M95" s="20"/>
      <x:c r="N95" s="20"/>
      <x:c r="O95" s="20"/>
      <x:c r="P95" s="20"/>
      <x:c r="Q95" s="20"/>
      <x:c r="R95" s="20"/>
      <x:c r="S95" s="20"/>
      <x:c r="T95" s="20"/>
      <x:c r="U95" s="20"/>
      <x:c r="V95" s="20"/>
      <x:c r="W95" s="20"/>
      <x:c r="X95" s="20"/>
      <x:c r="Y95" s="20"/>
      <x:c r="Z95" s="20"/>
    </x:row>
    <x:row r="96">
      <x:c r="A96" s="20"/>
      <x:c r="B96" s="20"/>
      <x:c r="C96" s="20"/>
      <x:c r="D96" s="20"/>
      <x:c r="E96" s="20"/>
      <x:c r="F96" s="20"/>
      <x:c r="G96" s="20"/>
      <x:c r="H96" s="20"/>
      <x:c r="I96" s="20"/>
      <x:c r="J96" s="20"/>
      <x:c r="K96" s="20"/>
      <x:c r="L96" s="20"/>
      <x:c r="M96" s="20"/>
      <x:c r="N96" s="20"/>
      <x:c r="O96" s="20"/>
      <x:c r="P96" s="20"/>
      <x:c r="Q96" s="20"/>
      <x:c r="R96" s="20"/>
      <x:c r="S96" s="20"/>
      <x:c r="T96" s="20"/>
      <x:c r="U96" s="20"/>
      <x:c r="V96" s="20"/>
      <x:c r="W96" s="20"/>
      <x:c r="X96" s="20"/>
      <x:c r="Y96" s="20"/>
      <x:c r="Z96" s="20"/>
    </x:row>
    <x:row r="97">
      <x:c r="A97" s="20"/>
      <x:c r="B97" s="20"/>
      <x:c r="C97" s="20"/>
      <x:c r="D97" s="20"/>
      <x:c r="E97" s="20"/>
      <x:c r="F97" s="20"/>
      <x:c r="G97" s="20"/>
      <x:c r="H97" s="20"/>
      <x:c r="I97" s="20"/>
      <x:c r="J97" s="20"/>
      <x:c r="K97" s="20"/>
      <x:c r="L97" s="20"/>
      <x:c r="M97" s="20"/>
      <x:c r="N97" s="20"/>
      <x:c r="O97" s="20"/>
      <x:c r="P97" s="20"/>
      <x:c r="Q97" s="20"/>
      <x:c r="R97" s="20"/>
      <x:c r="S97" s="20"/>
      <x:c r="T97" s="20"/>
      <x:c r="U97" s="20"/>
      <x:c r="V97" s="20"/>
      <x:c r="W97" s="20"/>
      <x:c r="X97" s="20"/>
      <x:c r="Y97" s="20"/>
      <x:c r="Z97" s="20"/>
    </x:row>
    <x:row r="98">
      <x:c r="A98" s="20"/>
      <x:c r="B98" s="20"/>
      <x:c r="C98" s="20"/>
      <x:c r="D98" s="20"/>
      <x:c r="E98" s="20"/>
      <x:c r="F98" s="20"/>
      <x:c r="G98" s="20"/>
      <x:c r="H98" s="20"/>
      <x:c r="I98" s="20"/>
      <x:c r="J98" s="20"/>
      <x:c r="K98" s="20"/>
      <x:c r="L98" s="20"/>
      <x:c r="M98" s="20"/>
      <x:c r="N98" s="20"/>
      <x:c r="O98" s="20"/>
      <x:c r="P98" s="20"/>
      <x:c r="Q98" s="20"/>
      <x:c r="R98" s="20"/>
      <x:c r="S98" s="20"/>
      <x:c r="T98" s="20"/>
      <x:c r="U98" s="20"/>
      <x:c r="V98" s="20"/>
      <x:c r="W98" s="20"/>
      <x:c r="X98" s="20"/>
      <x:c r="Y98" s="20"/>
      <x:c r="Z98" s="20"/>
    </x:row>
    <x:row r="99">
      <x:c r="A99" s="20"/>
      <x:c r="B99" s="20"/>
      <x:c r="C99" s="20"/>
      <x:c r="D99" s="20"/>
      <x:c r="E99" s="20"/>
      <x:c r="F99" s="20"/>
      <x:c r="G99" s="20"/>
      <x:c r="H99" s="20"/>
      <x:c r="I99" s="20"/>
      <x:c r="J99" s="20"/>
      <x:c r="K99" s="20"/>
      <x:c r="L99" s="20"/>
      <x:c r="M99" s="20"/>
      <x:c r="N99" s="20"/>
      <x:c r="O99" s="20"/>
      <x:c r="P99" s="20"/>
      <x:c r="Q99" s="20"/>
      <x:c r="R99" s="20"/>
      <x:c r="S99" s="20"/>
      <x:c r="T99" s="20"/>
      <x:c r="U99" s="20"/>
      <x:c r="V99" s="20"/>
      <x:c r="W99" s="20"/>
      <x:c r="X99" s="20"/>
      <x:c r="Y99" s="20"/>
      <x:c r="Z99" s="20"/>
    </x:row>
    <x:row r="100">
      <x:c r="A100" s="20"/>
      <x:c r="B100" s="20"/>
      <x:c r="C100" s="20"/>
      <x:c r="D100" s="20"/>
      <x:c r="E100" s="20"/>
      <x:c r="F100" s="20"/>
      <x:c r="G100" s="20"/>
      <x:c r="H100" s="20"/>
      <x:c r="I100" s="20"/>
      <x:c r="J100" s="20"/>
      <x:c r="K100" s="20"/>
      <x:c r="L100" s="20"/>
      <x:c r="M100" s="20"/>
      <x:c r="N100" s="20"/>
      <x:c r="O100" s="20"/>
      <x:c r="P100" s="20"/>
      <x:c r="Q100" s="20"/>
      <x:c r="R100" s="20"/>
      <x:c r="S100" s="20"/>
      <x:c r="T100" s="20"/>
      <x:c r="U100" s="20"/>
      <x:c r="V100" s="20"/>
      <x:c r="W100" s="20"/>
      <x:c r="X100" s="20"/>
      <x:c r="Y100" s="20"/>
      <x:c r="Z100" s="20"/>
    </x:row>
    <x:row r="101">
      <x:c r="A101" s="20"/>
      <x:c r="B101" s="20"/>
      <x:c r="C101" s="20"/>
      <x:c r="D101" s="20"/>
      <x:c r="E101" s="20"/>
      <x:c r="F101" s="20"/>
      <x:c r="G101" s="20"/>
      <x:c r="H101" s="20"/>
      <x:c r="I101" s="20"/>
      <x:c r="J101" s="20"/>
      <x:c r="K101" s="20"/>
      <x:c r="L101" s="20"/>
      <x:c r="M101" s="20"/>
      <x:c r="N101" s="20"/>
      <x:c r="O101" s="20"/>
      <x:c r="P101" s="20"/>
      <x:c r="Q101" s="20"/>
      <x:c r="R101" s="20"/>
      <x:c r="S101" s="20"/>
      <x:c r="T101" s="20"/>
      <x:c r="U101" s="20"/>
      <x:c r="V101" s="20"/>
      <x:c r="W101" s="20"/>
      <x:c r="X101" s="20"/>
      <x:c r="Y101" s="20"/>
      <x:c r="Z101" s="20"/>
    </x:row>
    <x:row r="102">
      <x:c r="A102" s="20"/>
      <x:c r="B102" s="20"/>
      <x:c r="C102" s="20"/>
      <x:c r="D102" s="20"/>
      <x:c r="E102" s="20"/>
      <x:c r="F102" s="20"/>
      <x:c r="G102" s="20"/>
      <x:c r="H102" s="20"/>
      <x:c r="I102" s="20"/>
      <x:c r="J102" s="20"/>
      <x:c r="K102" s="20"/>
      <x:c r="L102" s="20"/>
      <x:c r="M102" s="20"/>
      <x:c r="N102" s="20"/>
      <x:c r="O102" s="20"/>
      <x:c r="P102" s="20"/>
      <x:c r="Q102" s="20"/>
      <x:c r="R102" s="20"/>
      <x:c r="S102" s="20"/>
      <x:c r="T102" s="20"/>
      <x:c r="U102" s="20"/>
      <x:c r="V102" s="20"/>
      <x:c r="W102" s="20"/>
      <x:c r="X102" s="20"/>
      <x:c r="Y102" s="20"/>
      <x:c r="Z102" s="20"/>
    </x:row>
    <x:row r="103">
      <x:c r="A103" s="20"/>
      <x:c r="B103" s="20"/>
      <x:c r="C103" s="20"/>
      <x:c r="D103" s="20"/>
      <x:c r="E103" s="20"/>
      <x:c r="F103" s="20"/>
      <x:c r="G103" s="20"/>
      <x:c r="H103" s="20"/>
      <x:c r="I103" s="20"/>
      <x:c r="J103" s="20"/>
      <x:c r="K103" s="20"/>
      <x:c r="L103" s="20"/>
      <x:c r="M103" s="20"/>
      <x:c r="N103" s="20"/>
      <x:c r="O103" s="20"/>
      <x:c r="P103" s="20"/>
      <x:c r="Q103" s="20"/>
      <x:c r="R103" s="20"/>
      <x:c r="S103" s="20"/>
      <x:c r="T103" s="20"/>
      <x:c r="U103" s="20"/>
      <x:c r="V103" s="20"/>
      <x:c r="W103" s="20"/>
      <x:c r="X103" s="20"/>
      <x:c r="Y103" s="20"/>
      <x:c r="Z103" s="20"/>
    </x:row>
    <x:row r="104">
      <x:c r="A104" s="20"/>
      <x:c r="B104" s="20"/>
      <x:c r="C104" s="20"/>
      <x:c r="D104" s="20"/>
      <x:c r="E104" s="20"/>
      <x:c r="F104" s="20"/>
      <x:c r="G104" s="20"/>
      <x:c r="H104" s="20"/>
      <x:c r="I104" s="20"/>
      <x:c r="J104" s="20"/>
      <x:c r="K104" s="20"/>
      <x:c r="L104" s="20"/>
      <x:c r="M104" s="20"/>
      <x:c r="N104" s="20"/>
      <x:c r="O104" s="20"/>
      <x:c r="P104" s="20"/>
      <x:c r="Q104" s="20"/>
      <x:c r="R104" s="20"/>
      <x:c r="S104" s="20"/>
      <x:c r="T104" s="20"/>
      <x:c r="U104" s="20"/>
      <x:c r="V104" s="20"/>
      <x:c r="W104" s="20"/>
      <x:c r="X104" s="20"/>
      <x:c r="Y104" s="20"/>
      <x:c r="Z104" s="20"/>
    </x:row>
    <x:row r="105">
      <x:c r="A105" s="20"/>
      <x:c r="B105" s="20"/>
      <x:c r="C105" s="20"/>
      <x:c r="D105" s="20"/>
      <x:c r="E105" s="20"/>
      <x:c r="F105" s="20"/>
      <x:c r="G105" s="20"/>
      <x:c r="H105" s="20"/>
      <x:c r="I105" s="20"/>
      <x:c r="J105" s="20"/>
      <x:c r="K105" s="20"/>
      <x:c r="L105" s="20"/>
      <x:c r="M105" s="20"/>
      <x:c r="N105" s="20"/>
      <x:c r="O105" s="20"/>
      <x:c r="P105" s="20"/>
      <x:c r="Q105" s="20"/>
      <x:c r="R105" s="20"/>
      <x:c r="S105" s="20"/>
      <x:c r="T105" s="20"/>
      <x:c r="U105" s="20"/>
      <x:c r="V105" s="20"/>
      <x:c r="W105" s="20"/>
      <x:c r="X105" s="20"/>
      <x:c r="Y105" s="20"/>
      <x:c r="Z105" s="20"/>
    </x:row>
    <x:row r="106">
      <x:c r="A106" s="20"/>
      <x:c r="B106" s="20"/>
      <x:c r="C106" s="20"/>
      <x:c r="D106" s="20"/>
      <x:c r="E106" s="20"/>
      <x:c r="F106" s="20"/>
      <x:c r="G106" s="20"/>
      <x:c r="H106" s="20"/>
      <x:c r="I106" s="20"/>
      <x:c r="J106" s="20"/>
      <x:c r="K106" s="20"/>
      <x:c r="L106" s="20"/>
      <x:c r="M106" s="20"/>
      <x:c r="N106" s="20"/>
      <x:c r="O106" s="20"/>
      <x:c r="P106" s="20"/>
      <x:c r="Q106" s="20"/>
      <x:c r="R106" s="20"/>
      <x:c r="S106" s="20"/>
      <x:c r="T106" s="20"/>
      <x:c r="U106" s="20"/>
      <x:c r="V106" s="20"/>
      <x:c r="W106" s="20"/>
      <x:c r="X106" s="20"/>
      <x:c r="Y106" s="20"/>
      <x:c r="Z106" s="20"/>
    </x:row>
    <x:row r="107">
      <x:c r="A107" s="20"/>
      <x:c r="B107" s="20"/>
      <x:c r="C107" s="20"/>
      <x:c r="D107" s="20"/>
      <x:c r="E107" s="20"/>
      <x:c r="F107" s="20"/>
      <x:c r="G107" s="20"/>
      <x:c r="H107" s="20"/>
      <x:c r="I107" s="20"/>
      <x:c r="J107" s="20"/>
      <x:c r="K107" s="20"/>
      <x:c r="L107" s="20"/>
      <x:c r="M107" s="20"/>
      <x:c r="N107" s="20"/>
      <x:c r="O107" s="20"/>
      <x:c r="P107" s="20"/>
      <x:c r="Q107" s="20"/>
      <x:c r="R107" s="20"/>
      <x:c r="S107" s="20"/>
      <x:c r="T107" s="20"/>
      <x:c r="U107" s="20"/>
      <x:c r="V107" s="20"/>
      <x:c r="W107" s="20"/>
      <x:c r="X107" s="20"/>
      <x:c r="Y107" s="20"/>
      <x:c r="Z107" s="20"/>
    </x:row>
    <x:row r="108">
      <x:c r="A108" s="20"/>
      <x:c r="B108" s="20"/>
      <x:c r="C108" s="20"/>
      <x:c r="D108" s="20"/>
      <x:c r="E108" s="20"/>
      <x:c r="F108" s="20"/>
      <x:c r="G108" s="20"/>
      <x:c r="H108" s="20"/>
      <x:c r="I108" s="20"/>
      <x:c r="J108" s="20"/>
      <x:c r="K108" s="20"/>
      <x:c r="L108" s="20"/>
      <x:c r="M108" s="20"/>
      <x:c r="N108" s="20"/>
      <x:c r="O108" s="20"/>
      <x:c r="P108" s="20"/>
      <x:c r="Q108" s="20"/>
      <x:c r="R108" s="20"/>
      <x:c r="S108" s="20"/>
      <x:c r="T108" s="20"/>
      <x:c r="U108" s="20"/>
      <x:c r="V108" s="20"/>
      <x:c r="W108" s="20"/>
      <x:c r="X108" s="20"/>
      <x:c r="Y108" s="20"/>
      <x:c r="Z108" s="20"/>
    </x:row>
    <x:row r="109">
      <x:c r="A109" s="20"/>
      <x:c r="B109" s="20"/>
      <x:c r="C109" s="20"/>
      <x:c r="D109" s="20"/>
      <x:c r="E109" s="20"/>
      <x:c r="F109" s="20"/>
      <x:c r="G109" s="20"/>
      <x:c r="H109" s="20"/>
      <x:c r="I109" s="20"/>
      <x:c r="J109" s="20"/>
      <x:c r="K109" s="20"/>
      <x:c r="L109" s="20"/>
      <x:c r="M109" s="20"/>
      <x:c r="N109" s="20"/>
      <x:c r="O109" s="20"/>
      <x:c r="P109" s="20"/>
      <x:c r="Q109" s="20"/>
      <x:c r="R109" s="20"/>
      <x:c r="S109" s="20"/>
      <x:c r="T109" s="20"/>
      <x:c r="U109" s="20"/>
      <x:c r="V109" s="20"/>
      <x:c r="W109" s="20"/>
      <x:c r="X109" s="20"/>
      <x:c r="Y109" s="20"/>
      <x:c r="Z109" s="20"/>
    </x:row>
    <x:row r="110">
      <x:c r="A110" s="20"/>
      <x:c r="B110" s="20"/>
      <x:c r="C110" s="20"/>
      <x:c r="D110" s="20"/>
      <x:c r="E110" s="20"/>
      <x:c r="F110" s="20"/>
      <x:c r="G110" s="20"/>
      <x:c r="H110" s="20"/>
      <x:c r="I110" s="20"/>
      <x:c r="J110" s="20"/>
      <x:c r="K110" s="20"/>
      <x:c r="L110" s="20"/>
      <x:c r="M110" s="20"/>
      <x:c r="N110" s="20"/>
      <x:c r="O110" s="20"/>
      <x:c r="P110" s="20"/>
      <x:c r="Q110" s="20"/>
      <x:c r="R110" s="20"/>
      <x:c r="S110" s="20"/>
      <x:c r="T110" s="20"/>
      <x:c r="U110" s="20"/>
      <x:c r="V110" s="20"/>
      <x:c r="W110" s="20"/>
      <x:c r="X110" s="20"/>
      <x:c r="Y110" s="20"/>
      <x:c r="Z110" s="20"/>
    </x:row>
    <x:row r="111">
      <x:c r="A111" s="20"/>
      <x:c r="B111" s="20"/>
      <x:c r="C111" s="20"/>
      <x:c r="D111" s="20"/>
      <x:c r="E111" s="20"/>
      <x:c r="F111" s="20"/>
      <x:c r="G111" s="20"/>
      <x:c r="H111" s="20"/>
      <x:c r="I111" s="20"/>
      <x:c r="J111" s="20"/>
      <x:c r="K111" s="20"/>
      <x:c r="L111" s="20"/>
      <x:c r="M111" s="20"/>
      <x:c r="N111" s="20"/>
      <x:c r="O111" s="20"/>
      <x:c r="P111" s="20"/>
      <x:c r="Q111" s="20"/>
      <x:c r="R111" s="20"/>
      <x:c r="S111" s="20"/>
      <x:c r="T111" s="20"/>
      <x:c r="U111" s="20"/>
      <x:c r="V111" s="20"/>
      <x:c r="W111" s="20"/>
      <x:c r="X111" s="20"/>
      <x:c r="Y111" s="20"/>
      <x:c r="Z111" s="20"/>
    </x:row>
    <x:row r="112">
      <x:c r="A112" s="20"/>
      <x:c r="B112" s="20"/>
      <x:c r="C112" s="20"/>
      <x:c r="D112" s="20"/>
      <x:c r="E112" s="20"/>
      <x:c r="F112" s="20"/>
      <x:c r="G112" s="20"/>
      <x:c r="H112" s="20"/>
      <x:c r="I112" s="20"/>
      <x:c r="J112" s="20"/>
      <x:c r="K112" s="20"/>
      <x:c r="L112" s="20"/>
      <x:c r="M112" s="20"/>
      <x:c r="N112" s="20"/>
      <x:c r="O112" s="20"/>
      <x:c r="P112" s="20"/>
      <x:c r="Q112" s="20"/>
      <x:c r="R112" s="20"/>
      <x:c r="S112" s="20"/>
      <x:c r="T112" s="20"/>
      <x:c r="U112" s="20"/>
      <x:c r="V112" s="20"/>
      <x:c r="W112" s="20"/>
      <x:c r="X112" s="20"/>
      <x:c r="Y112" s="20"/>
      <x:c r="Z112" s="20"/>
    </x:row>
    <x:row r="113">
      <x:c r="A113" s="20"/>
      <x:c r="B113" s="20"/>
      <x:c r="C113" s="20"/>
      <x:c r="D113" s="20"/>
      <x:c r="E113" s="20"/>
      <x:c r="F113" s="20"/>
      <x:c r="G113" s="20"/>
      <x:c r="H113" s="20"/>
      <x:c r="I113" s="20"/>
      <x:c r="J113" s="20"/>
      <x:c r="K113" s="20"/>
      <x:c r="L113" s="20"/>
      <x:c r="M113" s="20"/>
      <x:c r="N113" s="20"/>
      <x:c r="O113" s="20"/>
      <x:c r="P113" s="20"/>
      <x:c r="Q113" s="20"/>
      <x:c r="R113" s="20"/>
      <x:c r="S113" s="20"/>
      <x:c r="T113" s="20"/>
      <x:c r="U113" s="20"/>
      <x:c r="V113" s="20"/>
      <x:c r="W113" s="20"/>
      <x:c r="X113" s="20"/>
      <x:c r="Y113" s="20"/>
      <x:c r="Z113" s="20"/>
    </x:row>
    <x:row r="114">
      <x:c r="A114" s="20"/>
      <x:c r="B114" s="20"/>
      <x:c r="C114" s="20"/>
      <x:c r="D114" s="20"/>
      <x:c r="E114" s="20"/>
      <x:c r="F114" s="20"/>
      <x:c r="G114" s="20"/>
      <x:c r="H114" s="20"/>
      <x:c r="I114" s="20"/>
      <x:c r="J114" s="20"/>
      <x:c r="K114" s="20"/>
      <x:c r="L114" s="20"/>
      <x:c r="M114" s="20"/>
      <x:c r="N114" s="20"/>
      <x:c r="O114" s="20"/>
      <x:c r="P114" s="20"/>
      <x:c r="Q114" s="20"/>
      <x:c r="R114" s="20"/>
      <x:c r="S114" s="20"/>
      <x:c r="T114" s="20"/>
      <x:c r="U114" s="20"/>
      <x:c r="V114" s="20"/>
      <x:c r="W114" s="20"/>
      <x:c r="X114" s="20"/>
      <x:c r="Y114" s="20"/>
      <x:c r="Z114" s="20"/>
    </x:row>
    <x:row r="115">
      <x:c r="A115" s="20"/>
      <x:c r="B115" s="20"/>
      <x:c r="C115" s="20"/>
      <x:c r="D115" s="20"/>
      <x:c r="E115" s="20"/>
      <x:c r="F115" s="20"/>
      <x:c r="G115" s="20"/>
      <x:c r="H115" s="20"/>
      <x:c r="I115" s="20"/>
      <x:c r="J115" s="20"/>
      <x:c r="K115" s="20"/>
      <x:c r="L115" s="20"/>
      <x:c r="M115" s="20"/>
      <x:c r="N115" s="20"/>
      <x:c r="O115" s="20"/>
      <x:c r="P115" s="20"/>
      <x:c r="Q115" s="20"/>
      <x:c r="R115" s="20"/>
      <x:c r="S115" s="20"/>
      <x:c r="T115" s="20"/>
      <x:c r="U115" s="20"/>
      <x:c r="V115" s="20"/>
      <x:c r="W115" s="20"/>
      <x:c r="X115" s="20"/>
      <x:c r="Y115" s="20"/>
      <x:c r="Z115" s="20"/>
    </x:row>
    <x:row r="116">
      <x:c r="A116" s="20"/>
      <x:c r="B116" s="20"/>
      <x:c r="C116" s="20"/>
      <x:c r="D116" s="20"/>
      <x:c r="E116" s="20"/>
      <x:c r="F116" s="20"/>
      <x:c r="G116" s="20"/>
      <x:c r="H116" s="20"/>
      <x:c r="I116" s="20"/>
      <x:c r="J116" s="20"/>
      <x:c r="K116" s="20"/>
      <x:c r="L116" s="20"/>
      <x:c r="M116" s="20"/>
      <x:c r="N116" s="20"/>
      <x:c r="O116" s="20"/>
      <x:c r="P116" s="20"/>
      <x:c r="Q116" s="20"/>
      <x:c r="R116" s="20"/>
      <x:c r="S116" s="20"/>
      <x:c r="T116" s="20"/>
      <x:c r="U116" s="20"/>
      <x:c r="V116" s="20"/>
      <x:c r="W116" s="20"/>
      <x:c r="X116" s="20"/>
      <x:c r="Y116" s="20"/>
      <x:c r="Z116" s="20"/>
    </x:row>
    <x:row r="117">
      <x:c r="A117" s="20"/>
      <x:c r="B117" s="20"/>
      <x:c r="C117" s="20"/>
      <x:c r="D117" s="20"/>
      <x:c r="E117" s="20"/>
      <x:c r="F117" s="20"/>
      <x:c r="G117" s="20"/>
      <x:c r="H117" s="20"/>
      <x:c r="I117" s="20"/>
      <x:c r="J117" s="20"/>
      <x:c r="K117" s="20"/>
      <x:c r="L117" s="20"/>
      <x:c r="M117" s="20"/>
      <x:c r="N117" s="20"/>
      <x:c r="O117" s="20"/>
      <x:c r="P117" s="20"/>
      <x:c r="Q117" s="20"/>
      <x:c r="R117" s="20"/>
      <x:c r="S117" s="20"/>
      <x:c r="T117" s="20"/>
      <x:c r="U117" s="20"/>
      <x:c r="V117" s="20"/>
      <x:c r="W117" s="20"/>
      <x:c r="X117" s="20"/>
      <x:c r="Y117" s="20"/>
      <x:c r="Z117" s="20"/>
    </x:row>
    <x:row r="118">
      <x:c r="A118" s="20"/>
      <x:c r="B118" s="20"/>
      <x:c r="C118" s="20"/>
      <x:c r="D118" s="20"/>
      <x:c r="E118" s="20"/>
      <x:c r="F118" s="20"/>
      <x:c r="G118" s="20"/>
      <x:c r="H118" s="20"/>
      <x:c r="I118" s="20"/>
      <x:c r="J118" s="20"/>
      <x:c r="K118" s="20"/>
      <x:c r="L118" s="20"/>
      <x:c r="M118" s="20"/>
      <x:c r="N118" s="20"/>
      <x:c r="O118" s="20"/>
      <x:c r="P118" s="20"/>
      <x:c r="Q118" s="20"/>
      <x:c r="R118" s="20"/>
      <x:c r="S118" s="20"/>
      <x:c r="T118" s="20"/>
      <x:c r="U118" s="20"/>
      <x:c r="V118" s="20"/>
      <x:c r="W118" s="20"/>
      <x:c r="X118" s="20"/>
      <x:c r="Y118" s="20"/>
      <x:c r="Z118" s="20"/>
    </x:row>
    <x:row r="119">
      <x:c r="A119" s="20"/>
      <x:c r="B119" s="20"/>
      <x:c r="C119" s="20"/>
      <x:c r="D119" s="20"/>
      <x:c r="E119" s="20"/>
      <x:c r="F119" s="20"/>
      <x:c r="G119" s="20"/>
      <x:c r="H119" s="20"/>
      <x:c r="I119" s="20"/>
      <x:c r="J119" s="20"/>
      <x:c r="K119" s="20"/>
      <x:c r="L119" s="20"/>
      <x:c r="M119" s="20"/>
      <x:c r="N119" s="20"/>
      <x:c r="O119" s="20"/>
      <x:c r="P119" s="20"/>
      <x:c r="Q119" s="20"/>
      <x:c r="R119" s="20"/>
      <x:c r="S119" s="20"/>
      <x:c r="T119" s="20"/>
      <x:c r="U119" s="20"/>
      <x:c r="V119" s="20"/>
      <x:c r="W119" s="20"/>
      <x:c r="X119" s="20"/>
      <x:c r="Y119" s="20"/>
      <x:c r="Z119" s="20"/>
    </x:row>
    <x:row r="120">
      <x:c r="A120" s="20"/>
      <x:c r="B120" s="20"/>
      <x:c r="C120" s="20"/>
      <x:c r="D120" s="20"/>
      <x:c r="E120" s="20"/>
      <x:c r="F120" s="20"/>
      <x:c r="G120" s="20"/>
      <x:c r="H120" s="20"/>
      <x:c r="I120" s="20"/>
      <x:c r="J120" s="20"/>
      <x:c r="K120" s="20"/>
      <x:c r="L120" s="20"/>
      <x:c r="M120" s="20"/>
      <x:c r="N120" s="20"/>
      <x:c r="O120" s="20"/>
      <x:c r="P120" s="20"/>
      <x:c r="Q120" s="20"/>
      <x:c r="R120" s="20"/>
      <x:c r="S120" s="20"/>
      <x:c r="T120" s="20"/>
      <x:c r="U120" s="20"/>
      <x:c r="V120" s="20"/>
      <x:c r="W120" s="20"/>
      <x:c r="X120" s="20"/>
      <x:c r="Y120" s="20"/>
      <x:c r="Z120" s="20"/>
    </x:row>
    <x:row r="121">
      <x:c r="A121" s="20"/>
      <x:c r="B121" s="20"/>
      <x:c r="C121" s="20"/>
      <x:c r="D121" s="20"/>
      <x:c r="E121" s="20"/>
      <x:c r="F121" s="20"/>
      <x:c r="G121" s="20"/>
      <x:c r="H121" s="20"/>
      <x:c r="I121" s="20"/>
      <x:c r="J121" s="20"/>
      <x:c r="K121" s="20"/>
      <x:c r="L121" s="20"/>
      <x:c r="M121" s="20"/>
      <x:c r="N121" s="20"/>
      <x:c r="O121" s="20"/>
      <x:c r="P121" s="20"/>
      <x:c r="Q121" s="20"/>
      <x:c r="R121" s="20"/>
      <x:c r="S121" s="20"/>
      <x:c r="T121" s="20"/>
      <x:c r="U121" s="20"/>
      <x:c r="V121" s="20"/>
      <x:c r="W121" s="20"/>
      <x:c r="X121" s="20"/>
      <x:c r="Y121" s="20"/>
      <x:c r="Z121" s="20"/>
    </x:row>
    <x:row r="122">
      <x:c r="A122" s="20"/>
      <x:c r="B122" s="20"/>
      <x:c r="C122" s="20"/>
      <x:c r="D122" s="20"/>
      <x:c r="E122" s="20"/>
      <x:c r="F122" s="20"/>
      <x:c r="G122" s="20"/>
      <x:c r="H122" s="20"/>
      <x:c r="I122" s="20"/>
      <x:c r="J122" s="20"/>
      <x:c r="K122" s="20"/>
      <x:c r="L122" s="20"/>
      <x:c r="M122" s="20"/>
      <x:c r="N122" s="20"/>
      <x:c r="O122" s="20"/>
      <x:c r="P122" s="20"/>
      <x:c r="Q122" s="20"/>
      <x:c r="R122" s="20"/>
      <x:c r="S122" s="20"/>
      <x:c r="T122" s="20"/>
      <x:c r="U122" s="20"/>
      <x:c r="V122" s="20"/>
      <x:c r="W122" s="20"/>
      <x:c r="X122" s="20"/>
      <x:c r="Y122" s="20"/>
      <x:c r="Z122" s="20"/>
    </x:row>
    <x:row r="123">
      <x:c r="A123" s="20"/>
      <x:c r="B123" s="20"/>
      <x:c r="C123" s="20"/>
      <x:c r="D123" s="20"/>
      <x:c r="E123" s="20"/>
      <x:c r="F123" s="20"/>
      <x:c r="G123" s="20"/>
      <x:c r="H123" s="20"/>
      <x:c r="I123" s="20"/>
      <x:c r="J123" s="20"/>
      <x:c r="K123" s="20"/>
      <x:c r="L123" s="20"/>
      <x:c r="M123" s="20"/>
      <x:c r="N123" s="20"/>
      <x:c r="O123" s="20"/>
      <x:c r="P123" s="20"/>
      <x:c r="Q123" s="20"/>
      <x:c r="R123" s="20"/>
      <x:c r="S123" s="20"/>
      <x:c r="T123" s="20"/>
      <x:c r="U123" s="20"/>
      <x:c r="V123" s="20"/>
      <x:c r="W123" s="20"/>
      <x:c r="X123" s="20"/>
      <x:c r="Y123" s="20"/>
      <x:c r="Z123" s="20"/>
    </x:row>
    <x:row r="124">
      <x:c r="A124" s="20"/>
      <x:c r="B124" s="20"/>
      <x:c r="C124" s="20"/>
      <x:c r="D124" s="20"/>
      <x:c r="E124" s="20"/>
      <x:c r="F124" s="20"/>
      <x:c r="G124" s="20"/>
      <x:c r="H124" s="20"/>
      <x:c r="I124" s="20"/>
      <x:c r="J124" s="20"/>
      <x:c r="K124" s="20"/>
      <x:c r="L124" s="20"/>
      <x:c r="M124" s="20"/>
      <x:c r="N124" s="20"/>
      <x:c r="O124" s="20"/>
      <x:c r="P124" s="20"/>
      <x:c r="Q124" s="20"/>
      <x:c r="R124" s="20"/>
      <x:c r="S124" s="20"/>
      <x:c r="T124" s="20"/>
      <x:c r="U124" s="20"/>
      <x:c r="V124" s="20"/>
      <x:c r="W124" s="20"/>
      <x:c r="X124" s="20"/>
      <x:c r="Y124" s="20"/>
      <x:c r="Z124" s="20"/>
    </x:row>
    <x:row r="125">
      <x:c r="A125" s="20"/>
      <x:c r="B125" s="20"/>
      <x:c r="C125" s="20"/>
      <x:c r="D125" s="20"/>
      <x:c r="E125" s="20"/>
      <x:c r="F125" s="20"/>
      <x:c r="G125" s="20"/>
      <x:c r="H125" s="20"/>
      <x:c r="I125" s="20"/>
      <x:c r="J125" s="20"/>
      <x:c r="K125" s="20"/>
      <x:c r="L125" s="20"/>
      <x:c r="M125" s="20"/>
      <x:c r="N125" s="20"/>
      <x:c r="O125" s="20"/>
      <x:c r="P125" s="20"/>
      <x:c r="Q125" s="20"/>
      <x:c r="R125" s="20"/>
      <x:c r="S125" s="20"/>
      <x:c r="T125" s="20"/>
      <x:c r="U125" s="20"/>
      <x:c r="V125" s="20"/>
      <x:c r="W125" s="20"/>
      <x:c r="X125" s="20"/>
      <x:c r="Y125" s="20"/>
      <x:c r="Z125" s="20"/>
    </x:row>
    <x:row r="126">
      <x:c r="A126" s="20"/>
      <x:c r="B126" s="20"/>
      <x:c r="C126" s="20"/>
      <x:c r="D126" s="20"/>
      <x:c r="E126" s="20"/>
      <x:c r="F126" s="20"/>
      <x:c r="G126" s="20"/>
      <x:c r="H126" s="20"/>
      <x:c r="I126" s="20"/>
      <x:c r="J126" s="20"/>
      <x:c r="K126" s="20"/>
      <x:c r="L126" s="20"/>
      <x:c r="M126" s="20"/>
      <x:c r="N126" s="20"/>
      <x:c r="O126" s="20"/>
      <x:c r="P126" s="20"/>
      <x:c r="Q126" s="20"/>
      <x:c r="R126" s="20"/>
      <x:c r="S126" s="20"/>
      <x:c r="T126" s="20"/>
      <x:c r="U126" s="20"/>
      <x:c r="V126" s="20"/>
      <x:c r="W126" s="20"/>
      <x:c r="X126" s="20"/>
      <x:c r="Y126" s="20"/>
      <x:c r="Z126" s="20"/>
    </x:row>
    <x:row r="127">
      <x:c r="A127" s="20"/>
      <x:c r="B127" s="20"/>
      <x:c r="C127" s="20"/>
      <x:c r="D127" s="20"/>
      <x:c r="E127" s="20"/>
      <x:c r="F127" s="20"/>
      <x:c r="G127" s="20"/>
      <x:c r="H127" s="20"/>
      <x:c r="I127" s="20"/>
      <x:c r="J127" s="20"/>
      <x:c r="K127" s="20"/>
      <x:c r="L127" s="20"/>
      <x:c r="M127" s="20"/>
      <x:c r="N127" s="20"/>
      <x:c r="O127" s="20"/>
      <x:c r="P127" s="20"/>
      <x:c r="Q127" s="20"/>
      <x:c r="R127" s="20"/>
      <x:c r="S127" s="20"/>
      <x:c r="T127" s="20"/>
      <x:c r="U127" s="20"/>
      <x:c r="V127" s="20"/>
      <x:c r="W127" s="20"/>
      <x:c r="X127" s="20"/>
      <x:c r="Y127" s="20"/>
      <x:c r="Z127" s="20"/>
    </x:row>
    <x:row r="128">
      <x:c r="A128" s="20"/>
      <x:c r="B128" s="20"/>
      <x:c r="C128" s="20"/>
      <x:c r="D128" s="20"/>
      <x:c r="E128" s="20"/>
      <x:c r="F128" s="20"/>
      <x:c r="G128" s="20"/>
      <x:c r="H128" s="20"/>
      <x:c r="I128" s="20"/>
      <x:c r="J128" s="20"/>
      <x:c r="K128" s="20"/>
      <x:c r="L128" s="20"/>
      <x:c r="M128" s="20"/>
      <x:c r="N128" s="20"/>
      <x:c r="O128" s="20"/>
      <x:c r="P128" s="20"/>
      <x:c r="Q128" s="20"/>
      <x:c r="R128" s="20"/>
      <x:c r="S128" s="20"/>
      <x:c r="T128" s="20"/>
      <x:c r="U128" s="20"/>
      <x:c r="V128" s="20"/>
      <x:c r="W128" s="20"/>
      <x:c r="X128" s="20"/>
      <x:c r="Y128" s="20"/>
      <x:c r="Z128" s="20"/>
    </x:row>
    <x:row r="129">
      <x:c r="A129" s="20"/>
      <x:c r="B129" s="20"/>
      <x:c r="C129" s="20"/>
      <x:c r="D129" s="20"/>
      <x:c r="E129" s="20"/>
      <x:c r="F129" s="20"/>
      <x:c r="G129" s="20"/>
      <x:c r="H129" s="20"/>
      <x:c r="I129" s="20"/>
      <x:c r="J129" s="20"/>
      <x:c r="K129" s="20"/>
      <x:c r="L129" s="20"/>
      <x:c r="M129" s="20"/>
      <x:c r="N129" s="20"/>
      <x:c r="O129" s="20"/>
      <x:c r="P129" s="20"/>
      <x:c r="Q129" s="20"/>
      <x:c r="R129" s="20"/>
      <x:c r="S129" s="20"/>
      <x:c r="T129" s="20"/>
      <x:c r="U129" s="20"/>
      <x:c r="V129" s="20"/>
      <x:c r="W129" s="20"/>
      <x:c r="X129" s="20"/>
      <x:c r="Y129" s="20"/>
      <x:c r="Z129" s="20"/>
    </x:row>
    <x:row r="130">
      <x:c r="A130" s="20"/>
      <x:c r="B130" s="20"/>
      <x:c r="C130" s="20"/>
      <x:c r="D130" s="20"/>
      <x:c r="E130" s="20"/>
      <x:c r="F130" s="20"/>
      <x:c r="G130" s="20"/>
      <x:c r="H130" s="20"/>
      <x:c r="I130" s="20"/>
      <x:c r="J130" s="20"/>
      <x:c r="K130" s="20"/>
      <x:c r="L130" s="20"/>
      <x:c r="M130" s="20"/>
      <x:c r="N130" s="20"/>
      <x:c r="O130" s="20"/>
      <x:c r="P130" s="20"/>
      <x:c r="Q130" s="20"/>
      <x:c r="R130" s="20"/>
      <x:c r="S130" s="20"/>
      <x:c r="T130" s="20"/>
      <x:c r="U130" s="20"/>
      <x:c r="V130" s="20"/>
      <x:c r="W130" s="20"/>
      <x:c r="X130" s="20"/>
      <x:c r="Y130" s="20"/>
      <x:c r="Z130" s="20"/>
    </x:row>
    <x:row r="131">
      <x:c r="A131" s="20"/>
      <x:c r="B131" s="20"/>
      <x:c r="C131" s="20"/>
      <x:c r="D131" s="20"/>
      <x:c r="E131" s="20"/>
      <x:c r="F131" s="20"/>
      <x:c r="G131" s="20"/>
      <x:c r="H131" s="20"/>
      <x:c r="I131" s="20"/>
      <x:c r="J131" s="20"/>
      <x:c r="K131" s="20"/>
      <x:c r="L131" s="20"/>
      <x:c r="M131" s="20"/>
      <x:c r="N131" s="20"/>
      <x:c r="O131" s="20"/>
      <x:c r="P131" s="20"/>
      <x:c r="Q131" s="20"/>
      <x:c r="R131" s="20"/>
      <x:c r="S131" s="20"/>
      <x:c r="T131" s="20"/>
      <x:c r="U131" s="20"/>
      <x:c r="V131" s="20"/>
      <x:c r="W131" s="20"/>
      <x:c r="X131" s="20"/>
      <x:c r="Y131" s="20"/>
      <x:c r="Z131" s="20"/>
    </x:row>
    <x:row r="132">
      <x:c r="A132" s="20"/>
      <x:c r="B132" s="20"/>
      <x:c r="C132" s="20"/>
      <x:c r="D132" s="20"/>
      <x:c r="E132" s="20"/>
      <x:c r="F132" s="20"/>
      <x:c r="G132" s="20"/>
      <x:c r="H132" s="20"/>
      <x:c r="I132" s="20"/>
      <x:c r="J132" s="20"/>
      <x:c r="K132" s="20"/>
      <x:c r="L132" s="20"/>
      <x:c r="M132" s="20"/>
      <x:c r="N132" s="20"/>
      <x:c r="O132" s="20"/>
      <x:c r="P132" s="20"/>
      <x:c r="Q132" s="20"/>
      <x:c r="R132" s="20"/>
      <x:c r="S132" s="20"/>
      <x:c r="T132" s="20"/>
      <x:c r="U132" s="20"/>
      <x:c r="V132" s="20"/>
      <x:c r="W132" s="20"/>
      <x:c r="X132" s="20"/>
      <x:c r="Y132" s="20"/>
      <x:c r="Z132" s="20"/>
    </x:row>
    <x:row r="133">
      <x:c r="A133" s="20"/>
      <x:c r="B133" s="20"/>
      <x:c r="C133" s="20"/>
      <x:c r="D133" s="20"/>
      <x:c r="E133" s="20"/>
      <x:c r="F133" s="20"/>
      <x:c r="G133" s="20"/>
      <x:c r="H133" s="20"/>
      <x:c r="I133" s="20"/>
      <x:c r="J133" s="20"/>
      <x:c r="K133" s="20"/>
      <x:c r="L133" s="20"/>
      <x:c r="M133" s="20"/>
      <x:c r="N133" s="20"/>
      <x:c r="O133" s="20"/>
      <x:c r="P133" s="20"/>
      <x:c r="Q133" s="20"/>
      <x:c r="R133" s="20"/>
      <x:c r="S133" s="20"/>
      <x:c r="T133" s="20"/>
      <x:c r="U133" s="20"/>
      <x:c r="V133" s="20"/>
      <x:c r="W133" s="20"/>
      <x:c r="X133" s="20"/>
      <x:c r="Y133" s="20"/>
      <x:c r="Z133" s="20"/>
    </x:row>
    <x:row r="134">
      <x:c r="A134" s="20"/>
      <x:c r="B134" s="20"/>
      <x:c r="C134" s="20"/>
      <x:c r="D134" s="20"/>
      <x:c r="E134" s="20"/>
      <x:c r="F134" s="20"/>
      <x:c r="G134" s="20"/>
      <x:c r="H134" s="20"/>
      <x:c r="I134" s="20"/>
      <x:c r="J134" s="20"/>
      <x:c r="K134" s="20"/>
      <x:c r="L134" s="20"/>
      <x:c r="M134" s="20"/>
      <x:c r="N134" s="20"/>
      <x:c r="O134" s="20"/>
      <x:c r="P134" s="20"/>
      <x:c r="Q134" s="20"/>
      <x:c r="R134" s="20"/>
      <x:c r="S134" s="20"/>
      <x:c r="T134" s="20"/>
      <x:c r="U134" s="20"/>
      <x:c r="V134" s="20"/>
      <x:c r="W134" s="20"/>
      <x:c r="X134" s="20"/>
      <x:c r="Y134" s="20"/>
      <x:c r="Z134" s="20"/>
    </x:row>
    <x:row r="135">
      <x:c r="A135" s="20"/>
      <x:c r="B135" s="20"/>
      <x:c r="C135" s="20"/>
      <x:c r="D135" s="20"/>
      <x:c r="E135" s="20"/>
      <x:c r="F135" s="20"/>
      <x:c r="G135" s="20"/>
      <x:c r="H135" s="20"/>
      <x:c r="I135" s="20"/>
      <x:c r="J135" s="20"/>
      <x:c r="K135" s="20"/>
      <x:c r="L135" s="20"/>
      <x:c r="M135" s="20"/>
      <x:c r="N135" s="20"/>
      <x:c r="O135" s="20"/>
      <x:c r="P135" s="20"/>
      <x:c r="Q135" s="20"/>
      <x:c r="R135" s="20"/>
      <x:c r="S135" s="20"/>
      <x:c r="T135" s="20"/>
      <x:c r="U135" s="20"/>
      <x:c r="V135" s="20"/>
      <x:c r="W135" s="20"/>
      <x:c r="X135" s="20"/>
      <x:c r="Y135" s="20"/>
      <x:c r="Z135" s="20"/>
    </x:row>
    <x:row r="136">
      <x:c r="A136" s="20"/>
      <x:c r="B136" s="20"/>
      <x:c r="C136" s="20"/>
      <x:c r="D136" s="20"/>
      <x:c r="E136" s="20"/>
      <x:c r="F136" s="20"/>
      <x:c r="G136" s="20"/>
      <x:c r="H136" s="20"/>
      <x:c r="I136" s="20"/>
      <x:c r="J136" s="20"/>
      <x:c r="K136" s="20"/>
      <x:c r="L136" s="20"/>
      <x:c r="M136" s="20"/>
      <x:c r="N136" s="20"/>
      <x:c r="O136" s="20"/>
      <x:c r="P136" s="20"/>
      <x:c r="Q136" s="20"/>
      <x:c r="R136" s="20"/>
      <x:c r="S136" s="20"/>
      <x:c r="T136" s="20"/>
      <x:c r="U136" s="20"/>
      <x:c r="V136" s="20"/>
      <x:c r="W136" s="20"/>
      <x:c r="X136" s="20"/>
      <x:c r="Y136" s="20"/>
      <x:c r="Z136" s="20"/>
    </x:row>
    <x:row r="137">
      <x:c r="A137" s="20"/>
      <x:c r="B137" s="20"/>
      <x:c r="C137" s="20"/>
      <x:c r="D137" s="20"/>
      <x:c r="E137" s="20"/>
      <x:c r="F137" s="20"/>
      <x:c r="G137" s="20"/>
      <x:c r="H137" s="20"/>
      <x:c r="I137" s="20"/>
      <x:c r="J137" s="20"/>
      <x:c r="K137" s="20"/>
      <x:c r="L137" s="20"/>
      <x:c r="M137" s="20"/>
      <x:c r="N137" s="20"/>
      <x:c r="O137" s="20"/>
      <x:c r="P137" s="20"/>
      <x:c r="Q137" s="20"/>
      <x:c r="R137" s="20"/>
      <x:c r="S137" s="20"/>
      <x:c r="T137" s="20"/>
      <x:c r="U137" s="20"/>
      <x:c r="V137" s="20"/>
      <x:c r="W137" s="20"/>
      <x:c r="X137" s="20"/>
      <x:c r="Y137" s="20"/>
      <x:c r="Z137" s="20"/>
    </x:row>
    <x:row r="138">
      <x:c r="A138" s="20"/>
      <x:c r="B138" s="20"/>
      <x:c r="C138" s="20"/>
      <x:c r="D138" s="20"/>
      <x:c r="E138" s="20"/>
      <x:c r="F138" s="20"/>
      <x:c r="G138" s="20"/>
      <x:c r="H138" s="20"/>
      <x:c r="I138" s="20"/>
      <x:c r="J138" s="20"/>
      <x:c r="K138" s="20"/>
      <x:c r="L138" s="20"/>
      <x:c r="M138" s="20"/>
      <x:c r="N138" s="20"/>
      <x:c r="O138" s="20"/>
      <x:c r="P138" s="20"/>
      <x:c r="Q138" s="20"/>
      <x:c r="R138" s="20"/>
      <x:c r="S138" s="20"/>
      <x:c r="T138" s="20"/>
      <x:c r="U138" s="20"/>
      <x:c r="V138" s="20"/>
      <x:c r="W138" s="20"/>
      <x:c r="X138" s="20"/>
      <x:c r="Y138" s="20"/>
      <x:c r="Z138" s="20"/>
    </x:row>
    <x:row r="139">
      <x:c r="A139" s="20"/>
      <x:c r="B139" s="20"/>
      <x:c r="C139" s="20"/>
      <x:c r="D139" s="20"/>
      <x:c r="E139" s="20"/>
      <x:c r="F139" s="20"/>
      <x:c r="G139" s="20"/>
      <x:c r="H139" s="20"/>
      <x:c r="I139" s="20"/>
      <x:c r="J139" s="20"/>
      <x:c r="K139" s="20"/>
      <x:c r="L139" s="20"/>
      <x:c r="M139" s="20"/>
      <x:c r="N139" s="20"/>
      <x:c r="O139" s="20"/>
      <x:c r="P139" s="20"/>
      <x:c r="Q139" s="20"/>
      <x:c r="R139" s="20"/>
      <x:c r="S139" s="20"/>
      <x:c r="T139" s="20"/>
      <x:c r="U139" s="20"/>
      <x:c r="V139" s="20"/>
      <x:c r="W139" s="20"/>
      <x:c r="X139" s="20"/>
      <x:c r="Y139" s="20"/>
      <x:c r="Z139" s="20"/>
    </x:row>
    <x:row r="140">
      <x:c r="A140" s="20"/>
      <x:c r="B140" s="20"/>
      <x:c r="C140" s="20"/>
      <x:c r="D140" s="20"/>
      <x:c r="E140" s="20"/>
      <x:c r="F140" s="20"/>
      <x:c r="G140" s="20"/>
      <x:c r="H140" s="20"/>
      <x:c r="I140" s="20"/>
      <x:c r="J140" s="20"/>
      <x:c r="K140" s="20"/>
      <x:c r="L140" s="20"/>
      <x:c r="M140" s="20"/>
      <x:c r="N140" s="20"/>
      <x:c r="O140" s="20"/>
      <x:c r="P140" s="20"/>
      <x:c r="Q140" s="20"/>
      <x:c r="R140" s="20"/>
      <x:c r="S140" s="20"/>
      <x:c r="T140" s="20"/>
      <x:c r="U140" s="20"/>
      <x:c r="V140" s="20"/>
      <x:c r="W140" s="20"/>
      <x:c r="X140" s="20"/>
      <x:c r="Y140" s="20"/>
      <x:c r="Z140" s="20"/>
    </x:row>
    <x:row r="141">
      <x:c r="A141" s="20"/>
      <x:c r="B141" s="20"/>
      <x:c r="C141" s="20"/>
      <x:c r="D141" s="20"/>
      <x:c r="E141" s="20"/>
      <x:c r="F141" s="20"/>
      <x:c r="G141" s="20"/>
      <x:c r="H141" s="20"/>
      <x:c r="I141" s="20"/>
      <x:c r="J141" s="20"/>
      <x:c r="K141" s="20"/>
      <x:c r="L141" s="20"/>
      <x:c r="M141" s="20"/>
      <x:c r="N141" s="20"/>
      <x:c r="O141" s="20"/>
      <x:c r="P141" s="20"/>
      <x:c r="Q141" s="20"/>
      <x:c r="R141" s="20"/>
      <x:c r="S141" s="20"/>
      <x:c r="T141" s="20"/>
      <x:c r="U141" s="20"/>
      <x:c r="V141" s="20"/>
      <x:c r="W141" s="20"/>
      <x:c r="X141" s="20"/>
      <x:c r="Y141" s="20"/>
      <x:c r="Z141" s="20"/>
    </x:row>
    <x:row r="142">
      <x:c r="A142" s="20"/>
      <x:c r="B142" s="20"/>
      <x:c r="C142" s="20"/>
      <x:c r="D142" s="20"/>
      <x:c r="E142" s="20"/>
      <x:c r="F142" s="20"/>
      <x:c r="G142" s="20"/>
      <x:c r="H142" s="20"/>
      <x:c r="I142" s="20"/>
      <x:c r="J142" s="20"/>
      <x:c r="K142" s="20"/>
      <x:c r="L142" s="20"/>
      <x:c r="M142" s="20"/>
      <x:c r="N142" s="20"/>
      <x:c r="O142" s="20"/>
      <x:c r="P142" s="20"/>
      <x:c r="Q142" s="20"/>
      <x:c r="R142" s="20"/>
      <x:c r="S142" s="20"/>
      <x:c r="T142" s="20"/>
      <x:c r="U142" s="20"/>
      <x:c r="V142" s="20"/>
      <x:c r="W142" s="20"/>
      <x:c r="X142" s="20"/>
      <x:c r="Y142" s="20"/>
      <x:c r="Z142" s="20"/>
    </x:row>
    <x:row r="143">
      <x:c r="A143" s="20"/>
      <x:c r="B143" s="20"/>
      <x:c r="C143" s="20"/>
      <x:c r="D143" s="20"/>
      <x:c r="E143" s="20"/>
      <x:c r="F143" s="20"/>
      <x:c r="G143" s="20"/>
      <x:c r="H143" s="20"/>
      <x:c r="I143" s="20"/>
      <x:c r="J143" s="20"/>
      <x:c r="K143" s="20"/>
      <x:c r="L143" s="20"/>
      <x:c r="M143" s="20"/>
      <x:c r="N143" s="20"/>
      <x:c r="O143" s="20"/>
      <x:c r="P143" s="20"/>
      <x:c r="Q143" s="20"/>
      <x:c r="R143" s="20"/>
      <x:c r="S143" s="20"/>
      <x:c r="T143" s="20"/>
      <x:c r="U143" s="20"/>
      <x:c r="V143" s="20"/>
      <x:c r="W143" s="20"/>
      <x:c r="X143" s="20"/>
      <x:c r="Y143" s="20"/>
      <x:c r="Z143" s="20"/>
    </x:row>
    <x:row r="144">
      <x:c r="A144" s="20"/>
      <x:c r="B144" s="20"/>
      <x:c r="C144" s="20"/>
      <x:c r="D144" s="20"/>
      <x:c r="E144" s="20"/>
      <x:c r="F144" s="20"/>
      <x:c r="G144" s="20"/>
      <x:c r="H144" s="20"/>
      <x:c r="I144" s="20"/>
      <x:c r="J144" s="20"/>
      <x:c r="K144" s="20"/>
      <x:c r="L144" s="20"/>
      <x:c r="M144" s="20"/>
      <x:c r="N144" s="20"/>
      <x:c r="O144" s="20"/>
      <x:c r="P144" s="20"/>
      <x:c r="Q144" s="20"/>
      <x:c r="R144" s="20"/>
      <x:c r="S144" s="20"/>
      <x:c r="T144" s="20"/>
      <x:c r="U144" s="20"/>
      <x:c r="V144" s="20"/>
      <x:c r="W144" s="20"/>
      <x:c r="X144" s="20"/>
      <x:c r="Y144" s="20"/>
      <x:c r="Z144" s="20"/>
    </x:row>
    <x:row r="145">
      <x:c r="A145" s="20"/>
      <x:c r="B145" s="20"/>
      <x:c r="C145" s="20"/>
      <x:c r="D145" s="20"/>
      <x:c r="E145" s="20"/>
      <x:c r="F145" s="20"/>
      <x:c r="G145" s="20"/>
      <x:c r="H145" s="20"/>
      <x:c r="I145" s="20"/>
      <x:c r="J145" s="20"/>
      <x:c r="K145" s="20"/>
      <x:c r="L145" s="20"/>
      <x:c r="M145" s="20"/>
      <x:c r="N145" s="20"/>
      <x:c r="O145" s="20"/>
      <x:c r="P145" s="20"/>
      <x:c r="Q145" s="20"/>
      <x:c r="R145" s="20"/>
      <x:c r="S145" s="20"/>
      <x:c r="T145" s="20"/>
      <x:c r="U145" s="20"/>
      <x:c r="V145" s="20"/>
      <x:c r="W145" s="20"/>
      <x:c r="X145" s="20"/>
      <x:c r="Y145" s="20"/>
      <x:c r="Z145" s="20"/>
    </x:row>
    <x:row r="146">
      <x:c r="A146" s="20"/>
      <x:c r="B146" s="20"/>
      <x:c r="C146" s="20"/>
      <x:c r="D146" s="20"/>
      <x:c r="E146" s="20"/>
      <x:c r="F146" s="20"/>
      <x:c r="G146" s="20"/>
      <x:c r="H146" s="20"/>
      <x:c r="I146" s="20"/>
      <x:c r="J146" s="20"/>
      <x:c r="K146" s="20"/>
      <x:c r="L146" s="20"/>
      <x:c r="M146" s="20"/>
      <x:c r="N146" s="20"/>
      <x:c r="O146" s="20"/>
      <x:c r="P146" s="20"/>
      <x:c r="Q146" s="20"/>
      <x:c r="R146" s="20"/>
      <x:c r="S146" s="20"/>
      <x:c r="T146" s="20"/>
      <x:c r="U146" s="20"/>
      <x:c r="V146" s="20"/>
      <x:c r="W146" s="20"/>
      <x:c r="X146" s="20"/>
      <x:c r="Y146" s="20"/>
      <x:c r="Z146" s="20"/>
    </x:row>
    <x:row r="147">
      <x:c r="A147" s="20"/>
      <x:c r="B147" s="20"/>
      <x:c r="C147" s="20"/>
      <x:c r="D147" s="20"/>
      <x:c r="E147" s="20"/>
      <x:c r="F147" s="20"/>
      <x:c r="G147" s="20"/>
      <x:c r="H147" s="20"/>
      <x:c r="I147" s="20"/>
      <x:c r="J147" s="20"/>
      <x:c r="K147" s="20"/>
      <x:c r="L147" s="20"/>
      <x:c r="M147" s="20"/>
      <x:c r="N147" s="20"/>
      <x:c r="O147" s="20"/>
      <x:c r="P147" s="20"/>
      <x:c r="Q147" s="20"/>
      <x:c r="R147" s="20"/>
      <x:c r="S147" s="20"/>
      <x:c r="T147" s="20"/>
      <x:c r="U147" s="20"/>
      <x:c r="V147" s="20"/>
      <x:c r="W147" s="20"/>
      <x:c r="X147" s="20"/>
      <x:c r="Y147" s="20"/>
      <x:c r="Z147" s="20"/>
    </x:row>
    <x:row r="148">
      <x:c r="A148" s="20"/>
      <x:c r="B148" s="20"/>
      <x:c r="C148" s="20"/>
      <x:c r="D148" s="20"/>
      <x:c r="E148" s="20"/>
      <x:c r="F148" s="20"/>
      <x:c r="G148" s="20"/>
      <x:c r="H148" s="20"/>
      <x:c r="I148" s="20"/>
      <x:c r="J148" s="20"/>
      <x:c r="K148" s="20"/>
      <x:c r="L148" s="20"/>
      <x:c r="M148" s="20"/>
      <x:c r="N148" s="20"/>
      <x:c r="O148" s="20"/>
      <x:c r="P148" s="20"/>
      <x:c r="Q148" s="20"/>
      <x:c r="R148" s="20"/>
      <x:c r="S148" s="20"/>
      <x:c r="T148" s="20"/>
      <x:c r="U148" s="20"/>
      <x:c r="V148" s="20"/>
      <x:c r="W148" s="20"/>
      <x:c r="X148" s="20"/>
      <x:c r="Y148" s="20"/>
      <x:c r="Z148" s="20"/>
    </x:row>
    <x:row r="149">
      <x:c r="A149" s="20"/>
      <x:c r="B149" s="20"/>
      <x:c r="C149" s="20"/>
      <x:c r="D149" s="20"/>
      <x:c r="E149" s="20"/>
      <x:c r="F149" s="20"/>
      <x:c r="G149" s="20"/>
      <x:c r="H149" s="20"/>
      <x:c r="I149" s="20"/>
      <x:c r="J149" s="20"/>
      <x:c r="K149" s="20"/>
      <x:c r="L149" s="20"/>
      <x:c r="M149" s="20"/>
      <x:c r="N149" s="20"/>
      <x:c r="O149" s="20"/>
      <x:c r="P149" s="20"/>
      <x:c r="Q149" s="20"/>
      <x:c r="R149" s="20"/>
      <x:c r="S149" s="20"/>
      <x:c r="T149" s="20"/>
      <x:c r="U149" s="20"/>
      <x:c r="V149" s="20"/>
      <x:c r="W149" s="20"/>
      <x:c r="X149" s="20"/>
      <x:c r="Y149" s="20"/>
      <x:c r="Z149" s="20"/>
    </x:row>
    <x:row r="150">
      <x:c r="A150" s="20"/>
      <x:c r="B150" s="20"/>
      <x:c r="C150" s="20"/>
      <x:c r="D150" s="20"/>
      <x:c r="E150" s="20"/>
      <x:c r="F150" s="20"/>
      <x:c r="G150" s="20"/>
      <x:c r="H150" s="20"/>
      <x:c r="I150" s="20"/>
      <x:c r="J150" s="20"/>
      <x:c r="K150" s="20"/>
      <x:c r="L150" s="20"/>
      <x:c r="M150" s="20"/>
      <x:c r="N150" s="20"/>
      <x:c r="O150" s="20"/>
      <x:c r="P150" s="20"/>
      <x:c r="Q150" s="20"/>
      <x:c r="R150" s="20"/>
      <x:c r="S150" s="20"/>
      <x:c r="T150" s="20"/>
      <x:c r="U150" s="20"/>
      <x:c r="V150" s="20"/>
      <x:c r="W150" s="20"/>
      <x:c r="X150" s="20"/>
      <x:c r="Y150" s="20"/>
      <x:c r="Z150" s="20"/>
    </x:row>
    <x:row r="151">
      <x:c r="A151" s="20"/>
      <x:c r="B151" s="20"/>
      <x:c r="C151" s="20"/>
      <x:c r="D151" s="20"/>
      <x:c r="E151" s="20"/>
      <x:c r="F151" s="20"/>
      <x:c r="G151" s="20"/>
      <x:c r="H151" s="20"/>
      <x:c r="I151" s="20"/>
      <x:c r="J151" s="20"/>
      <x:c r="K151" s="20"/>
      <x:c r="L151" s="20"/>
      <x:c r="M151" s="20"/>
      <x:c r="N151" s="20"/>
      <x:c r="O151" s="20"/>
      <x:c r="P151" s="20"/>
      <x:c r="Q151" s="20"/>
      <x:c r="R151" s="20"/>
      <x:c r="S151" s="20"/>
      <x:c r="T151" s="20"/>
      <x:c r="U151" s="20"/>
      <x:c r="V151" s="20"/>
      <x:c r="W151" s="20"/>
      <x:c r="X151" s="20"/>
      <x:c r="Y151" s="20"/>
      <x:c r="Z151" s="20"/>
    </x:row>
    <x:row r="152">
      <x:c r="A152" s="20"/>
      <x:c r="B152" s="20"/>
      <x:c r="C152" s="20"/>
      <x:c r="D152" s="20"/>
      <x:c r="E152" s="20"/>
      <x:c r="F152" s="20"/>
      <x:c r="G152" s="20"/>
      <x:c r="H152" s="20"/>
      <x:c r="I152" s="20"/>
      <x:c r="J152" s="20"/>
      <x:c r="K152" s="20"/>
      <x:c r="L152" s="20"/>
      <x:c r="M152" s="20"/>
      <x:c r="N152" s="20"/>
      <x:c r="O152" s="20"/>
      <x:c r="P152" s="20"/>
      <x:c r="Q152" s="20"/>
      <x:c r="R152" s="20"/>
      <x:c r="S152" s="20"/>
      <x:c r="T152" s="20"/>
      <x:c r="U152" s="20"/>
      <x:c r="V152" s="20"/>
      <x:c r="W152" s="20"/>
      <x:c r="X152" s="20"/>
      <x:c r="Y152" s="20"/>
      <x:c r="Z152" s="20"/>
    </x:row>
    <x:row r="153">
      <x:c r="A153" s="20"/>
      <x:c r="B153" s="20"/>
      <x:c r="C153" s="20"/>
      <x:c r="D153" s="20"/>
      <x:c r="E153" s="20"/>
      <x:c r="F153" s="20"/>
      <x:c r="G153" s="20"/>
      <x:c r="H153" s="20"/>
      <x:c r="I153" s="20"/>
      <x:c r="J153" s="20"/>
      <x:c r="K153" s="20"/>
      <x:c r="L153" s="20"/>
      <x:c r="M153" s="20"/>
      <x:c r="N153" s="20"/>
      <x:c r="O153" s="20"/>
      <x:c r="P153" s="20"/>
      <x:c r="Q153" s="20"/>
      <x:c r="R153" s="20"/>
      <x:c r="S153" s="20"/>
      <x:c r="T153" s="20"/>
      <x:c r="U153" s="20"/>
      <x:c r="V153" s="20"/>
      <x:c r="W153" s="20"/>
      <x:c r="X153" s="20"/>
      <x:c r="Y153" s="20"/>
      <x:c r="Z153" s="20"/>
    </x:row>
    <x:row r="154">
      <x:c r="A154" s="20"/>
      <x:c r="B154" s="20"/>
      <x:c r="C154" s="20"/>
      <x:c r="D154" s="20"/>
      <x:c r="E154" s="20"/>
      <x:c r="F154" s="20"/>
      <x:c r="G154" s="20"/>
      <x:c r="H154" s="20"/>
      <x:c r="I154" s="20"/>
      <x:c r="J154" s="20"/>
      <x:c r="K154" s="20"/>
      <x:c r="L154" s="20"/>
      <x:c r="M154" s="20"/>
      <x:c r="N154" s="20"/>
      <x:c r="O154" s="20"/>
      <x:c r="P154" s="20"/>
      <x:c r="Q154" s="20"/>
      <x:c r="R154" s="20"/>
      <x:c r="S154" s="20"/>
      <x:c r="T154" s="20"/>
      <x:c r="U154" s="20"/>
      <x:c r="V154" s="20"/>
      <x:c r="W154" s="20"/>
      <x:c r="X154" s="20"/>
      <x:c r="Y154" s="20"/>
      <x:c r="Z154" s="20"/>
    </x:row>
    <x:row r="155">
      <x:c r="A155" s="20"/>
      <x:c r="B155" s="20"/>
      <x:c r="C155" s="20"/>
      <x:c r="D155" s="20"/>
      <x:c r="E155" s="20"/>
      <x:c r="F155" s="20"/>
      <x:c r="G155" s="20"/>
      <x:c r="H155" s="20"/>
      <x:c r="I155" s="20"/>
      <x:c r="J155" s="20"/>
      <x:c r="K155" s="20"/>
      <x:c r="L155" s="20"/>
      <x:c r="M155" s="20"/>
      <x:c r="N155" s="20"/>
      <x:c r="O155" s="20"/>
      <x:c r="P155" s="20"/>
      <x:c r="Q155" s="20"/>
      <x:c r="R155" s="20"/>
      <x:c r="S155" s="20"/>
      <x:c r="T155" s="20"/>
      <x:c r="U155" s="20"/>
      <x:c r="V155" s="20"/>
      <x:c r="W155" s="20"/>
      <x:c r="X155" s="20"/>
      <x:c r="Y155" s="20"/>
      <x:c r="Z155" s="20"/>
    </x:row>
    <x:row r="156">
      <x:c r="A156" s="20"/>
      <x:c r="B156" s="20"/>
      <x:c r="C156" s="20"/>
      <x:c r="D156" s="20"/>
      <x:c r="E156" s="20"/>
      <x:c r="F156" s="20"/>
      <x:c r="G156" s="20"/>
      <x:c r="H156" s="20"/>
      <x:c r="I156" s="20"/>
      <x:c r="J156" s="20"/>
      <x:c r="K156" s="20"/>
      <x:c r="L156" s="20"/>
      <x:c r="M156" s="20"/>
      <x:c r="N156" s="20"/>
      <x:c r="O156" s="20"/>
      <x:c r="P156" s="20"/>
      <x:c r="Q156" s="20"/>
      <x:c r="R156" s="20"/>
      <x:c r="S156" s="20"/>
      <x:c r="T156" s="20"/>
      <x:c r="U156" s="20"/>
      <x:c r="V156" s="20"/>
      <x:c r="W156" s="20"/>
      <x:c r="X156" s="20"/>
      <x:c r="Y156" s="20"/>
      <x:c r="Z156" s="20"/>
    </x:row>
    <x:row r="157">
      <x:c r="A157" s="20"/>
      <x:c r="B157" s="20"/>
      <x:c r="C157" s="20"/>
      <x:c r="D157" s="20"/>
      <x:c r="E157" s="20"/>
      <x:c r="F157" s="20"/>
      <x:c r="G157" s="20"/>
      <x:c r="H157" s="20"/>
      <x:c r="I157" s="20"/>
      <x:c r="J157" s="20"/>
      <x:c r="K157" s="20"/>
      <x:c r="L157" s="20"/>
      <x:c r="M157" s="20"/>
      <x:c r="N157" s="20"/>
      <x:c r="O157" s="20"/>
      <x:c r="P157" s="20"/>
      <x:c r="Q157" s="20"/>
      <x:c r="R157" s="20"/>
      <x:c r="S157" s="20"/>
      <x:c r="T157" s="20"/>
      <x:c r="U157" s="20"/>
      <x:c r="V157" s="20"/>
      <x:c r="W157" s="20"/>
      <x:c r="X157" s="20"/>
      <x:c r="Y157" s="20"/>
      <x:c r="Z157" s="20"/>
    </x:row>
    <x:row r="158">
      <x:c r="A158" s="20"/>
      <x:c r="B158" s="20"/>
      <x:c r="C158" s="20"/>
      <x:c r="D158" s="20"/>
      <x:c r="E158" s="20"/>
      <x:c r="F158" s="20"/>
      <x:c r="G158" s="20"/>
      <x:c r="H158" s="20"/>
      <x:c r="I158" s="20"/>
      <x:c r="J158" s="20"/>
      <x:c r="K158" s="20"/>
      <x:c r="L158" s="20"/>
      <x:c r="M158" s="20"/>
      <x:c r="N158" s="20"/>
      <x:c r="O158" s="20"/>
      <x:c r="P158" s="20"/>
      <x:c r="Q158" s="20"/>
      <x:c r="R158" s="20"/>
      <x:c r="S158" s="20"/>
      <x:c r="T158" s="20"/>
      <x:c r="U158" s="20"/>
      <x:c r="V158" s="20"/>
      <x:c r="W158" s="20"/>
      <x:c r="X158" s="20"/>
      <x:c r="Y158" s="20"/>
      <x:c r="Z158" s="20"/>
    </x:row>
    <x:row r="159">
      <x:c r="A159" s="20"/>
      <x:c r="B159" s="20"/>
      <x:c r="C159" s="20"/>
      <x:c r="D159" s="20"/>
      <x:c r="E159" s="20"/>
      <x:c r="F159" s="20"/>
      <x:c r="G159" s="20"/>
      <x:c r="H159" s="20"/>
      <x:c r="I159" s="20"/>
      <x:c r="J159" s="20"/>
      <x:c r="K159" s="20"/>
      <x:c r="L159" s="20"/>
      <x:c r="M159" s="20"/>
      <x:c r="N159" s="20"/>
      <x:c r="O159" s="20"/>
      <x:c r="P159" s="20"/>
      <x:c r="Q159" s="20"/>
      <x:c r="R159" s="20"/>
      <x:c r="S159" s="20"/>
      <x:c r="T159" s="20"/>
      <x:c r="U159" s="20"/>
      <x:c r="V159" s="20"/>
      <x:c r="W159" s="20"/>
      <x:c r="X159" s="20"/>
      <x:c r="Y159" s="20"/>
      <x:c r="Z159" s="20"/>
    </x:row>
    <x:row r="160">
      <x:c r="A160" s="20"/>
      <x:c r="B160" s="20"/>
      <x:c r="C160" s="20"/>
      <x:c r="D160" s="20"/>
      <x:c r="E160" s="20"/>
      <x:c r="F160" s="20"/>
      <x:c r="G160" s="20"/>
      <x:c r="H160" s="20"/>
      <x:c r="I160" s="20"/>
      <x:c r="J160" s="20"/>
      <x:c r="K160" s="20"/>
      <x:c r="L160" s="20"/>
      <x:c r="M160" s="20"/>
      <x:c r="N160" s="20"/>
      <x:c r="O160" s="20"/>
      <x:c r="P160" s="20"/>
      <x:c r="Q160" s="20"/>
      <x:c r="R160" s="20"/>
      <x:c r="S160" s="20"/>
      <x:c r="T160" s="20"/>
      <x:c r="U160" s="20"/>
      <x:c r="V160" s="20"/>
      <x:c r="W160" s="20"/>
      <x:c r="X160" s="20"/>
      <x:c r="Y160" s="20"/>
      <x:c r="Z160" s="20"/>
    </x:row>
    <x:row r="161">
      <x:c r="A161" s="20"/>
      <x:c r="B161" s="20"/>
      <x:c r="C161" s="20"/>
      <x:c r="D161" s="20"/>
      <x:c r="E161" s="20"/>
      <x:c r="F161" s="20"/>
      <x:c r="G161" s="20"/>
      <x:c r="H161" s="20"/>
      <x:c r="I161" s="20"/>
      <x:c r="J161" s="20"/>
      <x:c r="K161" s="20"/>
      <x:c r="L161" s="20"/>
      <x:c r="M161" s="20"/>
      <x:c r="N161" s="20"/>
      <x:c r="O161" s="20"/>
      <x:c r="P161" s="20"/>
      <x:c r="Q161" s="20"/>
      <x:c r="R161" s="20"/>
      <x:c r="S161" s="20"/>
      <x:c r="T161" s="20"/>
      <x:c r="U161" s="20"/>
      <x:c r="V161" s="20"/>
      <x:c r="W161" s="20"/>
      <x:c r="X161" s="20"/>
      <x:c r="Y161" s="20"/>
      <x:c r="Z161" s="20"/>
    </x:row>
    <x:row r="162">
      <x:c r="A162" s="20"/>
      <x:c r="B162" s="20"/>
      <x:c r="C162" s="20"/>
      <x:c r="D162" s="20"/>
      <x:c r="E162" s="20"/>
      <x:c r="F162" s="20"/>
      <x:c r="G162" s="20"/>
      <x:c r="H162" s="20"/>
      <x:c r="I162" s="20"/>
      <x:c r="J162" s="20"/>
      <x:c r="K162" s="20"/>
      <x:c r="L162" s="20"/>
      <x:c r="M162" s="20"/>
      <x:c r="N162" s="20"/>
      <x:c r="O162" s="20"/>
      <x:c r="P162" s="20"/>
      <x:c r="Q162" s="20"/>
      <x:c r="R162" s="20"/>
      <x:c r="S162" s="20"/>
      <x:c r="T162" s="20"/>
      <x:c r="U162" s="20"/>
      <x:c r="V162" s="20"/>
      <x:c r="W162" s="20"/>
      <x:c r="X162" s="20"/>
      <x:c r="Y162" s="20"/>
      <x:c r="Z162" s="20"/>
    </x:row>
    <x:row r="163">
      <x:c r="A163" s="20"/>
      <x:c r="B163" s="20"/>
      <x:c r="C163" s="20"/>
      <x:c r="D163" s="20"/>
      <x:c r="E163" s="20"/>
      <x:c r="F163" s="20"/>
      <x:c r="G163" s="20"/>
      <x:c r="H163" s="20"/>
      <x:c r="I163" s="20"/>
      <x:c r="J163" s="20"/>
      <x:c r="K163" s="20"/>
      <x:c r="L163" s="20"/>
      <x:c r="M163" s="20"/>
      <x:c r="N163" s="20"/>
      <x:c r="O163" s="20"/>
      <x:c r="P163" s="20"/>
      <x:c r="Q163" s="20"/>
      <x:c r="R163" s="20"/>
      <x:c r="S163" s="20"/>
      <x:c r="T163" s="20"/>
      <x:c r="U163" s="20"/>
      <x:c r="V163" s="20"/>
      <x:c r="W163" s="20"/>
      <x:c r="X163" s="20"/>
      <x:c r="Y163" s="20"/>
      <x:c r="Z163" s="20"/>
    </x:row>
    <x:row r="164">
      <x:c r="A164" s="20"/>
      <x:c r="B164" s="20"/>
      <x:c r="C164" s="20"/>
      <x:c r="D164" s="20"/>
      <x:c r="E164" s="20"/>
      <x:c r="F164" s="20"/>
      <x:c r="G164" s="20"/>
      <x:c r="H164" s="20"/>
      <x:c r="I164" s="20"/>
      <x:c r="J164" s="20"/>
      <x:c r="K164" s="20"/>
      <x:c r="L164" s="20"/>
      <x:c r="M164" s="20"/>
      <x:c r="N164" s="20"/>
      <x:c r="O164" s="20"/>
      <x:c r="P164" s="20"/>
      <x:c r="Q164" s="20"/>
      <x:c r="R164" s="20"/>
      <x:c r="S164" s="20"/>
      <x:c r="T164" s="20"/>
      <x:c r="U164" s="20"/>
      <x:c r="V164" s="20"/>
      <x:c r="W164" s="20"/>
      <x:c r="X164" s="20"/>
      <x:c r="Y164" s="20"/>
      <x:c r="Z164" s="20"/>
    </x:row>
    <x:row r="165">
      <x:c r="A165" s="20"/>
      <x:c r="B165" s="20"/>
      <x:c r="C165" s="20"/>
      <x:c r="D165" s="20"/>
      <x:c r="E165" s="20"/>
      <x:c r="F165" s="20"/>
      <x:c r="G165" s="20"/>
      <x:c r="H165" s="20"/>
      <x:c r="I165" s="20"/>
      <x:c r="J165" s="20"/>
      <x:c r="K165" s="20"/>
      <x:c r="L165" s="20"/>
      <x:c r="M165" s="20"/>
      <x:c r="N165" s="20"/>
      <x:c r="O165" s="20"/>
      <x:c r="P165" s="20"/>
      <x:c r="Q165" s="20"/>
      <x:c r="R165" s="20"/>
      <x:c r="S165" s="20"/>
      <x:c r="T165" s="20"/>
      <x:c r="U165" s="20"/>
      <x:c r="V165" s="20"/>
      <x:c r="W165" s="20"/>
      <x:c r="X165" s="20"/>
      <x:c r="Y165" s="20"/>
      <x:c r="Z165" s="20"/>
    </x:row>
    <x:row r="166">
      <x:c r="A166" s="20"/>
      <x:c r="B166" s="20"/>
      <x:c r="C166" s="20"/>
      <x:c r="D166" s="20"/>
      <x:c r="E166" s="20"/>
      <x:c r="F166" s="20"/>
      <x:c r="G166" s="20"/>
      <x:c r="H166" s="20"/>
      <x:c r="I166" s="20"/>
      <x:c r="J166" s="20"/>
      <x:c r="K166" s="20"/>
      <x:c r="L166" s="20"/>
      <x:c r="M166" s="20"/>
      <x:c r="N166" s="20"/>
      <x:c r="O166" s="20"/>
      <x:c r="P166" s="20"/>
      <x:c r="Q166" s="20"/>
      <x:c r="R166" s="20"/>
      <x:c r="S166" s="20"/>
      <x:c r="T166" s="20"/>
      <x:c r="U166" s="20"/>
      <x:c r="V166" s="20"/>
      <x:c r="W166" s="20"/>
      <x:c r="X166" s="20"/>
      <x:c r="Y166" s="20"/>
      <x:c r="Z166" s="20"/>
    </x:row>
    <x:row r="167">
      <x:c r="A167" s="20"/>
      <x:c r="B167" s="20"/>
      <x:c r="C167" s="20"/>
      <x:c r="D167" s="20"/>
      <x:c r="E167" s="20"/>
      <x:c r="F167" s="20"/>
      <x:c r="G167" s="20"/>
      <x:c r="H167" s="20"/>
      <x:c r="I167" s="20"/>
      <x:c r="J167" s="20"/>
      <x:c r="K167" s="20"/>
      <x:c r="L167" s="20"/>
      <x:c r="M167" s="20"/>
      <x:c r="N167" s="20"/>
      <x:c r="O167" s="20"/>
      <x:c r="P167" s="20"/>
      <x:c r="Q167" s="20"/>
      <x:c r="R167" s="20"/>
      <x:c r="S167" s="20"/>
      <x:c r="T167" s="20"/>
      <x:c r="U167" s="20"/>
      <x:c r="V167" s="20"/>
      <x:c r="W167" s="20"/>
      <x:c r="X167" s="20"/>
      <x:c r="Y167" s="20"/>
      <x:c r="Z167" s="20"/>
    </x:row>
    <x:row r="168">
      <x:c r="A168" s="20"/>
      <x:c r="B168" s="20"/>
      <x:c r="C168" s="20"/>
      <x:c r="D168" s="20"/>
      <x:c r="E168" s="20"/>
      <x:c r="F168" s="20"/>
      <x:c r="G168" s="20"/>
      <x:c r="H168" s="20"/>
      <x:c r="I168" s="20"/>
      <x:c r="J168" s="20"/>
      <x:c r="K168" s="20"/>
      <x:c r="L168" s="20"/>
      <x:c r="M168" s="20"/>
      <x:c r="N168" s="20"/>
      <x:c r="O168" s="20"/>
      <x:c r="P168" s="20"/>
      <x:c r="Q168" s="20"/>
      <x:c r="R168" s="20"/>
      <x:c r="S168" s="20"/>
      <x:c r="T168" s="20"/>
      <x:c r="U168" s="20"/>
      <x:c r="V168" s="20"/>
      <x:c r="W168" s="20"/>
      <x:c r="X168" s="20"/>
      <x:c r="Y168" s="20"/>
      <x:c r="Z168" s="20"/>
    </x:row>
    <x:row r="169">
      <x:c r="A169" s="20"/>
      <x:c r="B169" s="20"/>
      <x:c r="C169" s="20"/>
      <x:c r="D169" s="20"/>
      <x:c r="E169" s="20"/>
      <x:c r="F169" s="20"/>
      <x:c r="G169" s="20"/>
      <x:c r="H169" s="20"/>
      <x:c r="I169" s="20"/>
      <x:c r="J169" s="20"/>
      <x:c r="K169" s="20"/>
      <x:c r="L169" s="20"/>
      <x:c r="M169" s="20"/>
      <x:c r="N169" s="20"/>
      <x:c r="O169" s="20"/>
      <x:c r="P169" s="20"/>
      <x:c r="Q169" s="20"/>
      <x:c r="R169" s="20"/>
      <x:c r="S169" s="20"/>
      <x:c r="T169" s="20"/>
      <x:c r="U169" s="20"/>
      <x:c r="V169" s="20"/>
      <x:c r="W169" s="20"/>
      <x:c r="X169" s="20"/>
      <x:c r="Y169" s="20"/>
      <x:c r="Z169" s="20"/>
    </x:row>
    <x:row r="170">
      <x:c r="A170" s="20"/>
      <x:c r="B170" s="20"/>
      <x:c r="C170" s="20"/>
      <x:c r="D170" s="20"/>
      <x:c r="E170" s="20"/>
      <x:c r="F170" s="20"/>
      <x:c r="G170" s="20"/>
      <x:c r="H170" s="20"/>
      <x:c r="I170" s="20"/>
      <x:c r="J170" s="20"/>
      <x:c r="K170" s="20"/>
      <x:c r="L170" s="20"/>
      <x:c r="M170" s="20"/>
      <x:c r="N170" s="20"/>
      <x:c r="O170" s="20"/>
      <x:c r="P170" s="20"/>
      <x:c r="Q170" s="20"/>
      <x:c r="R170" s="20"/>
      <x:c r="S170" s="20"/>
      <x:c r="T170" s="20"/>
      <x:c r="U170" s="20"/>
      <x:c r="V170" s="20"/>
      <x:c r="W170" s="20"/>
      <x:c r="X170" s="20"/>
      <x:c r="Y170" s="20"/>
      <x:c r="Z170" s="20"/>
    </x:row>
    <x:row r="171">
      <x:c r="A171" s="20"/>
      <x:c r="B171" s="20"/>
      <x:c r="C171" s="20"/>
      <x:c r="D171" s="20"/>
      <x:c r="E171" s="20"/>
      <x:c r="F171" s="20"/>
      <x:c r="G171" s="20"/>
      <x:c r="H171" s="20"/>
      <x:c r="I171" s="20"/>
      <x:c r="J171" s="20"/>
      <x:c r="K171" s="20"/>
      <x:c r="L171" s="20"/>
      <x:c r="M171" s="20"/>
      <x:c r="N171" s="20"/>
      <x:c r="O171" s="20"/>
      <x:c r="P171" s="20"/>
      <x:c r="Q171" s="20"/>
      <x:c r="R171" s="20"/>
      <x:c r="S171" s="20"/>
      <x:c r="T171" s="20"/>
      <x:c r="U171" s="20"/>
      <x:c r="V171" s="20"/>
      <x:c r="W171" s="20"/>
      <x:c r="X171" s="20"/>
      <x:c r="Y171" s="20"/>
      <x:c r="Z171" s="20"/>
    </x:row>
    <x:row r="172">
      <x:c r="A172" s="20"/>
      <x:c r="B172" s="20"/>
      <x:c r="C172" s="20"/>
      <x:c r="D172" s="20"/>
      <x:c r="E172" s="20"/>
      <x:c r="F172" s="20"/>
      <x:c r="G172" s="20"/>
      <x:c r="H172" s="20"/>
      <x:c r="I172" s="20"/>
      <x:c r="J172" s="20"/>
      <x:c r="K172" s="20"/>
      <x:c r="L172" s="20"/>
      <x:c r="M172" s="20"/>
      <x:c r="N172" s="20"/>
      <x:c r="O172" s="20"/>
      <x:c r="P172" s="20"/>
      <x:c r="Q172" s="20"/>
      <x:c r="R172" s="20"/>
      <x:c r="S172" s="20"/>
      <x:c r="T172" s="20"/>
      <x:c r="U172" s="20"/>
      <x:c r="V172" s="20"/>
      <x:c r="W172" s="20"/>
      <x:c r="X172" s="20"/>
      <x:c r="Y172" s="20"/>
      <x:c r="Z172" s="20"/>
    </x:row>
    <x:row r="173">
      <x:c r="A173" s="20"/>
      <x:c r="B173" s="20"/>
      <x:c r="C173" s="20"/>
      <x:c r="D173" s="20"/>
      <x:c r="E173" s="20"/>
      <x:c r="F173" s="20"/>
      <x:c r="G173" s="20"/>
      <x:c r="H173" s="20"/>
      <x:c r="I173" s="20"/>
      <x:c r="J173" s="20"/>
      <x:c r="K173" s="20"/>
      <x:c r="L173" s="20"/>
      <x:c r="M173" s="20"/>
      <x:c r="N173" s="20"/>
      <x:c r="O173" s="20"/>
      <x:c r="P173" s="20"/>
      <x:c r="Q173" s="20"/>
      <x:c r="R173" s="20"/>
      <x:c r="S173" s="20"/>
      <x:c r="T173" s="20"/>
      <x:c r="U173" s="20"/>
      <x:c r="V173" s="20"/>
      <x:c r="W173" s="20"/>
      <x:c r="X173" s="20"/>
      <x:c r="Y173" s="20"/>
      <x:c r="Z173" s="20"/>
    </x:row>
    <x:row r="174">
      <x:c r="A174" s="20"/>
      <x:c r="B174" s="20"/>
      <x:c r="C174" s="20"/>
      <x:c r="D174" s="20"/>
      <x:c r="E174" s="20"/>
      <x:c r="F174" s="20"/>
      <x:c r="G174" s="20"/>
      <x:c r="H174" s="20"/>
      <x:c r="I174" s="20"/>
      <x:c r="J174" s="20"/>
      <x:c r="K174" s="20"/>
      <x:c r="L174" s="20"/>
      <x:c r="M174" s="20"/>
      <x:c r="N174" s="20"/>
      <x:c r="O174" s="20"/>
      <x:c r="P174" s="20"/>
      <x:c r="Q174" s="20"/>
      <x:c r="R174" s="20"/>
      <x:c r="S174" s="20"/>
      <x:c r="T174" s="20"/>
      <x:c r="U174" s="20"/>
      <x:c r="V174" s="20"/>
      <x:c r="W174" s="20"/>
      <x:c r="X174" s="20"/>
      <x:c r="Y174" s="20"/>
      <x:c r="Z174" s="20"/>
    </x:row>
    <x:row r="175">
      <x:c r="A175" s="20"/>
      <x:c r="B175" s="20"/>
      <x:c r="C175" s="20"/>
      <x:c r="D175" s="20"/>
      <x:c r="E175" s="20"/>
      <x:c r="F175" s="20"/>
      <x:c r="G175" s="20"/>
      <x:c r="H175" s="20"/>
      <x:c r="I175" s="20"/>
      <x:c r="J175" s="20"/>
      <x:c r="K175" s="20"/>
      <x:c r="L175" s="20"/>
      <x:c r="M175" s="20"/>
      <x:c r="N175" s="20"/>
      <x:c r="O175" s="20"/>
      <x:c r="P175" s="20"/>
      <x:c r="Q175" s="20"/>
      <x:c r="R175" s="20"/>
      <x:c r="S175" s="20"/>
      <x:c r="T175" s="20"/>
      <x:c r="U175" s="20"/>
      <x:c r="V175" s="20"/>
      <x:c r="W175" s="20"/>
      <x:c r="X175" s="20"/>
      <x:c r="Y175" s="20"/>
      <x:c r="Z175" s="20"/>
    </x:row>
    <x:row r="176">
      <x:c r="A176" s="20"/>
      <x:c r="B176" s="20"/>
      <x:c r="C176" s="20"/>
      <x:c r="D176" s="20"/>
      <x:c r="E176" s="20"/>
      <x:c r="F176" s="20"/>
      <x:c r="G176" s="20"/>
      <x:c r="H176" s="20"/>
      <x:c r="I176" s="20"/>
      <x:c r="J176" s="20"/>
      <x:c r="K176" s="20"/>
      <x:c r="L176" s="20"/>
      <x:c r="M176" s="20"/>
      <x:c r="N176" s="20"/>
      <x:c r="O176" s="20"/>
      <x:c r="P176" s="20"/>
      <x:c r="Q176" s="20"/>
      <x:c r="R176" s="20"/>
      <x:c r="S176" s="20"/>
      <x:c r="T176" s="20"/>
      <x:c r="U176" s="20"/>
      <x:c r="V176" s="20"/>
      <x:c r="W176" s="20"/>
      <x:c r="X176" s="20"/>
      <x:c r="Y176" s="20"/>
      <x:c r="Z176" s="20"/>
    </x:row>
    <x:row r="177">
      <x:c r="A177" s="20"/>
      <x:c r="B177" s="20"/>
      <x:c r="C177" s="20"/>
      <x:c r="D177" s="20"/>
      <x:c r="E177" s="20"/>
      <x:c r="F177" s="20"/>
      <x:c r="G177" s="20"/>
      <x:c r="H177" s="20"/>
      <x:c r="I177" s="20"/>
      <x:c r="J177" s="20"/>
      <x:c r="K177" s="20"/>
      <x:c r="L177" s="20"/>
      <x:c r="M177" s="20"/>
      <x:c r="N177" s="20"/>
      <x:c r="O177" s="20"/>
      <x:c r="P177" s="20"/>
      <x:c r="Q177" s="20"/>
      <x:c r="R177" s="20"/>
      <x:c r="S177" s="20"/>
      <x:c r="T177" s="20"/>
      <x:c r="U177" s="20"/>
      <x:c r="V177" s="20"/>
      <x:c r="W177" s="20"/>
      <x:c r="X177" s="20"/>
      <x:c r="Y177" s="20"/>
      <x:c r="Z177" s="20"/>
    </x:row>
    <x:row r="178">
      <x:c r="A178" s="20"/>
      <x:c r="B178" s="20"/>
      <x:c r="C178" s="20"/>
      <x:c r="D178" s="20"/>
      <x:c r="E178" s="20"/>
      <x:c r="F178" s="20"/>
      <x:c r="G178" s="20"/>
      <x:c r="H178" s="20"/>
      <x:c r="I178" s="20"/>
      <x:c r="J178" s="20"/>
      <x:c r="K178" s="20"/>
      <x:c r="L178" s="20"/>
      <x:c r="M178" s="20"/>
      <x:c r="N178" s="20"/>
      <x:c r="O178" s="20"/>
      <x:c r="P178" s="20"/>
      <x:c r="Q178" s="20"/>
      <x:c r="R178" s="20"/>
      <x:c r="S178" s="20"/>
      <x:c r="T178" s="20"/>
      <x:c r="U178" s="20"/>
      <x:c r="V178" s="20"/>
      <x:c r="W178" s="20"/>
      <x:c r="X178" s="20"/>
      <x:c r="Y178" s="20"/>
      <x:c r="Z178" s="20"/>
    </x:row>
    <x:row r="179">
      <x:c r="A179" s="20"/>
      <x:c r="B179" s="20"/>
      <x:c r="C179" s="20"/>
      <x:c r="D179" s="20"/>
      <x:c r="E179" s="20"/>
      <x:c r="F179" s="20"/>
      <x:c r="G179" s="20"/>
      <x:c r="H179" s="20"/>
      <x:c r="I179" s="20"/>
      <x:c r="J179" s="20"/>
      <x:c r="K179" s="20"/>
      <x:c r="L179" s="20"/>
      <x:c r="M179" s="20"/>
      <x:c r="N179" s="20"/>
      <x:c r="O179" s="20"/>
      <x:c r="P179" s="20"/>
      <x:c r="Q179" s="20"/>
      <x:c r="R179" s="20"/>
      <x:c r="S179" s="20"/>
      <x:c r="T179" s="20"/>
      <x:c r="U179" s="20"/>
      <x:c r="V179" s="20"/>
      <x:c r="W179" s="20"/>
      <x:c r="X179" s="20"/>
      <x:c r="Y179" s="20"/>
      <x:c r="Z179" s="20"/>
    </x:row>
    <x:row r="180">
      <x:c r="A180" s="20"/>
      <x:c r="B180" s="20"/>
      <x:c r="C180" s="20"/>
      <x:c r="D180" s="20"/>
      <x:c r="E180" s="20"/>
      <x:c r="F180" s="20"/>
      <x:c r="G180" s="20"/>
      <x:c r="H180" s="20"/>
      <x:c r="I180" s="20"/>
      <x:c r="J180" s="20"/>
      <x:c r="K180" s="20"/>
      <x:c r="L180" s="20"/>
      <x:c r="M180" s="20"/>
      <x:c r="N180" s="20"/>
      <x:c r="O180" s="20"/>
      <x:c r="P180" s="20"/>
      <x:c r="Q180" s="20"/>
      <x:c r="R180" s="20"/>
      <x:c r="S180" s="20"/>
      <x:c r="T180" s="20"/>
      <x:c r="U180" s="20"/>
      <x:c r="V180" s="20"/>
      <x:c r="W180" s="20"/>
      <x:c r="X180" s="20"/>
      <x:c r="Y180" s="20"/>
      <x:c r="Z180" s="20"/>
    </x:row>
    <x:row r="181">
      <x:c r="A181" s="20"/>
      <x:c r="B181" s="20"/>
      <x:c r="C181" s="20"/>
      <x:c r="D181" s="20"/>
      <x:c r="E181" s="20"/>
      <x:c r="F181" s="20"/>
      <x:c r="G181" s="20"/>
      <x:c r="H181" s="20"/>
      <x:c r="I181" s="20"/>
      <x:c r="J181" s="20"/>
      <x:c r="K181" s="20"/>
      <x:c r="L181" s="20"/>
      <x:c r="M181" s="20"/>
      <x:c r="N181" s="20"/>
      <x:c r="O181" s="20"/>
      <x:c r="P181" s="20"/>
      <x:c r="Q181" s="20"/>
      <x:c r="R181" s="20"/>
      <x:c r="S181" s="20"/>
      <x:c r="T181" s="20"/>
      <x:c r="U181" s="20"/>
      <x:c r="V181" s="20"/>
      <x:c r="W181" s="20"/>
      <x:c r="X181" s="20"/>
      <x:c r="Y181" s="20"/>
      <x:c r="Z181" s="20"/>
    </x:row>
    <x:row r="182">
      <x:c r="A182" s="20"/>
      <x:c r="B182" s="20"/>
      <x:c r="C182" s="20"/>
      <x:c r="D182" s="20"/>
      <x:c r="E182" s="20"/>
      <x:c r="F182" s="20"/>
      <x:c r="G182" s="20"/>
      <x:c r="H182" s="20"/>
      <x:c r="I182" s="20"/>
      <x:c r="J182" s="20"/>
      <x:c r="K182" s="20"/>
      <x:c r="L182" s="20"/>
      <x:c r="M182" s="20"/>
      <x:c r="N182" s="20"/>
      <x:c r="O182" s="20"/>
      <x:c r="P182" s="20"/>
      <x:c r="Q182" s="20"/>
      <x:c r="R182" s="20"/>
      <x:c r="S182" s="20"/>
      <x:c r="T182" s="20"/>
      <x:c r="U182" s="20"/>
      <x:c r="V182" s="20"/>
      <x:c r="W182" s="20"/>
      <x:c r="X182" s="20"/>
      <x:c r="Y182" s="20"/>
      <x:c r="Z182" s="20"/>
    </x:row>
    <x:row r="183">
      <x:c r="A183" s="20"/>
      <x:c r="B183" s="20"/>
      <x:c r="C183" s="20"/>
      <x:c r="D183" s="20"/>
      <x:c r="E183" s="20"/>
      <x:c r="F183" s="20"/>
      <x:c r="G183" s="20"/>
      <x:c r="H183" s="20"/>
      <x:c r="I183" s="20"/>
      <x:c r="J183" s="20"/>
      <x:c r="K183" s="20"/>
      <x:c r="L183" s="20"/>
      <x:c r="M183" s="20"/>
      <x:c r="N183" s="20"/>
      <x:c r="O183" s="20"/>
      <x:c r="P183" s="20"/>
      <x:c r="Q183" s="20"/>
      <x:c r="R183" s="20"/>
      <x:c r="S183" s="20"/>
      <x:c r="T183" s="20"/>
      <x:c r="U183" s="20"/>
      <x:c r="V183" s="20"/>
      <x:c r="W183" s="20"/>
      <x:c r="X183" s="20"/>
      <x:c r="Y183" s="20"/>
      <x:c r="Z183" s="20"/>
    </x:row>
    <x:row r="184">
      <x:c r="A184" s="20"/>
      <x:c r="B184" s="20"/>
      <x:c r="C184" s="20"/>
      <x:c r="D184" s="20"/>
      <x:c r="E184" s="20"/>
      <x:c r="F184" s="20"/>
      <x:c r="G184" s="20"/>
      <x:c r="H184" s="20"/>
      <x:c r="I184" s="20"/>
      <x:c r="J184" s="20"/>
      <x:c r="K184" s="20"/>
      <x:c r="L184" s="20"/>
      <x:c r="M184" s="20"/>
      <x:c r="N184" s="20"/>
      <x:c r="O184" s="20"/>
      <x:c r="P184" s="20"/>
      <x:c r="Q184" s="20"/>
      <x:c r="R184" s="20"/>
      <x:c r="S184" s="20"/>
      <x:c r="T184" s="20"/>
      <x:c r="U184" s="20"/>
      <x:c r="V184" s="20"/>
      <x:c r="W184" s="20"/>
      <x:c r="X184" s="20"/>
      <x:c r="Y184" s="20"/>
      <x:c r="Z184" s="20"/>
    </x:row>
    <x:row r="185">
      <x:c r="A185" s="20"/>
      <x:c r="B185" s="20"/>
      <x:c r="C185" s="20"/>
      <x:c r="D185" s="20"/>
      <x:c r="E185" s="20"/>
      <x:c r="F185" s="20"/>
      <x:c r="G185" s="20"/>
      <x:c r="H185" s="20"/>
      <x:c r="I185" s="20"/>
      <x:c r="J185" s="20"/>
      <x:c r="K185" s="20"/>
      <x:c r="L185" s="20"/>
      <x:c r="M185" s="20"/>
      <x:c r="N185" s="20"/>
      <x:c r="O185" s="20"/>
      <x:c r="P185" s="20"/>
      <x:c r="Q185" s="20"/>
      <x:c r="R185" s="20"/>
      <x:c r="S185" s="20"/>
      <x:c r="T185" s="20"/>
      <x:c r="U185" s="20"/>
      <x:c r="V185" s="20"/>
      <x:c r="W185" s="20"/>
      <x:c r="X185" s="20"/>
      <x:c r="Y185" s="20"/>
      <x:c r="Z185" s="20"/>
    </x:row>
    <x:row r="186">
      <x:c r="A186" s="20"/>
      <x:c r="B186" s="20"/>
      <x:c r="C186" s="20"/>
      <x:c r="D186" s="20"/>
      <x:c r="E186" s="20"/>
      <x:c r="F186" s="20"/>
      <x:c r="G186" s="20"/>
      <x:c r="H186" s="20"/>
      <x:c r="I186" s="20"/>
      <x:c r="J186" s="20"/>
      <x:c r="K186" s="20"/>
      <x:c r="L186" s="20"/>
      <x:c r="M186" s="20"/>
      <x:c r="N186" s="20"/>
      <x:c r="O186" s="20"/>
      <x:c r="P186" s="20"/>
      <x:c r="Q186" s="20"/>
      <x:c r="R186" s="20"/>
      <x:c r="S186" s="20"/>
      <x:c r="T186" s="20"/>
      <x:c r="U186" s="20"/>
      <x:c r="V186" s="20"/>
      <x:c r="W186" s="20"/>
      <x:c r="X186" s="20"/>
      <x:c r="Y186" s="20"/>
      <x:c r="Z186" s="20"/>
    </x:row>
    <x:row r="187">
      <x:c r="A187" s="20"/>
      <x:c r="B187" s="20"/>
      <x:c r="C187" s="20"/>
      <x:c r="D187" s="20"/>
      <x:c r="E187" s="20"/>
      <x:c r="F187" s="20"/>
      <x:c r="G187" s="20"/>
      <x:c r="H187" s="20"/>
      <x:c r="I187" s="20"/>
      <x:c r="J187" s="20"/>
      <x:c r="K187" s="20"/>
      <x:c r="L187" s="20"/>
      <x:c r="M187" s="20"/>
      <x:c r="N187" s="20"/>
      <x:c r="O187" s="20"/>
      <x:c r="P187" s="20"/>
      <x:c r="Q187" s="20"/>
      <x:c r="R187" s="20"/>
      <x:c r="S187" s="20"/>
      <x:c r="T187" s="20"/>
      <x:c r="U187" s="20"/>
      <x:c r="V187" s="20"/>
      <x:c r="W187" s="20"/>
      <x:c r="X187" s="20"/>
      <x:c r="Y187" s="20"/>
      <x:c r="Z187" s="20"/>
    </x:row>
    <x:row r="188">
      <x:c r="A188" s="20"/>
      <x:c r="B188" s="20"/>
      <x:c r="C188" s="20"/>
      <x:c r="D188" s="20"/>
      <x:c r="E188" s="20"/>
      <x:c r="F188" s="20"/>
      <x:c r="G188" s="20"/>
      <x:c r="H188" s="20"/>
      <x:c r="I188" s="20"/>
      <x:c r="J188" s="20"/>
      <x:c r="K188" s="20"/>
      <x:c r="L188" s="20"/>
      <x:c r="M188" s="20"/>
      <x:c r="N188" s="20"/>
      <x:c r="O188" s="20"/>
      <x:c r="P188" s="20"/>
      <x:c r="Q188" s="20"/>
      <x:c r="R188" s="20"/>
      <x:c r="S188" s="20"/>
      <x:c r="T188" s="20"/>
      <x:c r="U188" s="20"/>
      <x:c r="V188" s="20"/>
      <x:c r="W188" s="20"/>
      <x:c r="X188" s="20"/>
      <x:c r="Y188" s="20"/>
      <x:c r="Z188" s="20"/>
    </x:row>
    <x:row r="189">
      <x:c r="A189" s="20"/>
      <x:c r="B189" s="20"/>
      <x:c r="C189" s="20"/>
      <x:c r="D189" s="20"/>
      <x:c r="E189" s="20"/>
      <x:c r="F189" s="20"/>
      <x:c r="G189" s="20"/>
      <x:c r="H189" s="20"/>
      <x:c r="I189" s="20"/>
      <x:c r="J189" s="20"/>
      <x:c r="K189" s="20"/>
      <x:c r="L189" s="20"/>
      <x:c r="M189" s="20"/>
      <x:c r="N189" s="20"/>
      <x:c r="O189" s="20"/>
      <x:c r="P189" s="20"/>
      <x:c r="Q189" s="20"/>
      <x:c r="R189" s="20"/>
      <x:c r="S189" s="20"/>
      <x:c r="T189" s="20"/>
      <x:c r="U189" s="20"/>
      <x:c r="V189" s="20"/>
      <x:c r="W189" s="20"/>
      <x:c r="X189" s="20"/>
      <x:c r="Y189" s="20"/>
      <x:c r="Z189" s="20"/>
    </x:row>
    <x:row r="190">
      <x:c r="A190" s="20"/>
      <x:c r="B190" s="20"/>
      <x:c r="C190" s="20"/>
      <x:c r="D190" s="20"/>
      <x:c r="E190" s="20"/>
      <x:c r="F190" s="20"/>
      <x:c r="G190" s="20"/>
      <x:c r="H190" s="20"/>
      <x:c r="I190" s="20"/>
      <x:c r="J190" s="20"/>
      <x:c r="K190" s="20"/>
      <x:c r="L190" s="20"/>
      <x:c r="M190" s="20"/>
      <x:c r="N190" s="20"/>
      <x:c r="O190" s="20"/>
      <x:c r="P190" s="20"/>
      <x:c r="Q190" s="20"/>
      <x:c r="R190" s="20"/>
      <x:c r="S190" s="20"/>
      <x:c r="T190" s="20"/>
      <x:c r="U190" s="20"/>
      <x:c r="V190" s="20"/>
      <x:c r="W190" s="20"/>
      <x:c r="X190" s="20"/>
      <x:c r="Y190" s="20"/>
      <x:c r="Z190" s="20"/>
    </x:row>
    <x:row r="191">
      <x:c r="A191" s="20"/>
      <x:c r="B191" s="20"/>
      <x:c r="C191" s="20"/>
      <x:c r="D191" s="20"/>
      <x:c r="E191" s="20"/>
      <x:c r="F191" s="20"/>
      <x:c r="G191" s="20"/>
      <x:c r="H191" s="20"/>
      <x:c r="I191" s="20"/>
      <x:c r="J191" s="20"/>
      <x:c r="K191" s="20"/>
      <x:c r="L191" s="20"/>
      <x:c r="M191" s="20"/>
      <x:c r="N191" s="20"/>
      <x:c r="O191" s="20"/>
      <x:c r="P191" s="20"/>
      <x:c r="Q191" s="20"/>
      <x:c r="R191" s="20"/>
      <x:c r="S191" s="20"/>
      <x:c r="T191" s="20"/>
      <x:c r="U191" s="20"/>
      <x:c r="V191" s="20"/>
      <x:c r="W191" s="20"/>
      <x:c r="X191" s="20"/>
      <x:c r="Y191" s="20"/>
      <x:c r="Z191" s="20"/>
    </x:row>
    <x:row r="192">
      <x:c r="A192" s="20"/>
      <x:c r="B192" s="20"/>
      <x:c r="C192" s="20"/>
      <x:c r="D192" s="20"/>
      <x:c r="E192" s="20"/>
      <x:c r="F192" s="20"/>
      <x:c r="G192" s="20"/>
      <x:c r="H192" s="20"/>
      <x:c r="I192" s="20"/>
      <x:c r="J192" s="20"/>
      <x:c r="K192" s="20"/>
      <x:c r="L192" s="20"/>
      <x:c r="M192" s="20"/>
      <x:c r="N192" s="20"/>
      <x:c r="O192" s="20"/>
      <x:c r="P192" s="20"/>
      <x:c r="Q192" s="20"/>
      <x:c r="R192" s="20"/>
      <x:c r="S192" s="20"/>
      <x:c r="T192" s="20"/>
      <x:c r="U192" s="20"/>
      <x:c r="V192" s="20"/>
      <x:c r="W192" s="20"/>
      <x:c r="X192" s="20"/>
      <x:c r="Y192" s="20"/>
      <x:c r="Z192" s="20"/>
    </x:row>
    <x:row r="193">
      <x:c r="A193" s="20"/>
      <x:c r="B193" s="20"/>
      <x:c r="C193" s="20"/>
      <x:c r="D193" s="20"/>
      <x:c r="E193" s="20"/>
      <x:c r="F193" s="20"/>
      <x:c r="G193" s="20"/>
      <x:c r="H193" s="20"/>
      <x:c r="I193" s="20"/>
      <x:c r="J193" s="20"/>
      <x:c r="K193" s="20"/>
      <x:c r="L193" s="20"/>
      <x:c r="M193" s="20"/>
      <x:c r="N193" s="20"/>
      <x:c r="O193" s="20"/>
      <x:c r="P193" s="20"/>
      <x:c r="Q193" s="20"/>
      <x:c r="R193" s="20"/>
      <x:c r="S193" s="20"/>
      <x:c r="T193" s="20"/>
      <x:c r="U193" s="20"/>
      <x:c r="V193" s="20"/>
      <x:c r="W193" s="20"/>
      <x:c r="X193" s="20"/>
      <x:c r="Y193" s="20"/>
      <x:c r="Z193" s="20"/>
    </x:row>
    <x:row r="194">
      <x:c r="A194" s="20"/>
      <x:c r="B194" s="20"/>
      <x:c r="C194" s="20"/>
      <x:c r="D194" s="20"/>
      <x:c r="E194" s="20"/>
      <x:c r="F194" s="20"/>
      <x:c r="G194" s="20"/>
      <x:c r="H194" s="20"/>
      <x:c r="I194" s="20"/>
      <x:c r="J194" s="20"/>
      <x:c r="K194" s="20"/>
      <x:c r="L194" s="20"/>
      <x:c r="M194" s="20"/>
      <x:c r="N194" s="20"/>
      <x:c r="O194" s="20"/>
      <x:c r="P194" s="20"/>
      <x:c r="Q194" s="20"/>
      <x:c r="R194" s="20"/>
      <x:c r="S194" s="20"/>
      <x:c r="T194" s="20"/>
      <x:c r="U194" s="20"/>
      <x:c r="V194" s="20"/>
      <x:c r="W194" s="20"/>
      <x:c r="X194" s="20"/>
      <x:c r="Y194" s="20"/>
      <x:c r="Z194" s="20"/>
    </x:row>
    <x:row r="195">
      <x:c r="A195" s="20"/>
      <x:c r="B195" s="20"/>
      <x:c r="C195" s="20"/>
      <x:c r="D195" s="20"/>
      <x:c r="E195" s="20"/>
      <x:c r="F195" s="20"/>
      <x:c r="G195" s="20"/>
      <x:c r="H195" s="20"/>
      <x:c r="I195" s="20"/>
      <x:c r="J195" s="20"/>
      <x:c r="K195" s="20"/>
      <x:c r="L195" s="20"/>
      <x:c r="M195" s="20"/>
      <x:c r="N195" s="20"/>
      <x:c r="O195" s="20"/>
      <x:c r="P195" s="20"/>
      <x:c r="Q195" s="20"/>
      <x:c r="R195" s="20"/>
      <x:c r="S195" s="20"/>
      <x:c r="T195" s="20"/>
      <x:c r="U195" s="20"/>
      <x:c r="V195" s="20"/>
      <x:c r="W195" s="20"/>
      <x:c r="X195" s="20"/>
      <x:c r="Y195" s="20"/>
      <x:c r="Z195" s="20"/>
    </x:row>
    <x:row r="196">
      <x:c r="A196" s="20"/>
      <x:c r="B196" s="20"/>
      <x:c r="C196" s="20"/>
      <x:c r="D196" s="20"/>
      <x:c r="E196" s="20"/>
      <x:c r="F196" s="20"/>
      <x:c r="G196" s="20"/>
      <x:c r="H196" s="20"/>
      <x:c r="I196" s="20"/>
      <x:c r="J196" s="20"/>
      <x:c r="K196" s="20"/>
      <x:c r="L196" s="20"/>
      <x:c r="M196" s="20"/>
      <x:c r="N196" s="20"/>
      <x:c r="O196" s="20"/>
      <x:c r="P196" s="20"/>
      <x:c r="Q196" s="20"/>
      <x:c r="R196" s="20"/>
      <x:c r="S196" s="20"/>
      <x:c r="T196" s="20"/>
      <x:c r="U196" s="20"/>
      <x:c r="V196" s="20"/>
      <x:c r="W196" s="20"/>
      <x:c r="X196" s="20"/>
      <x:c r="Y196" s="20"/>
      <x:c r="Z196" s="20"/>
    </x:row>
    <x:row r="197">
      <x:c r="A197" s="20"/>
      <x:c r="B197" s="20"/>
      <x:c r="C197" s="20"/>
      <x:c r="D197" s="20"/>
      <x:c r="E197" s="20"/>
      <x:c r="F197" s="20"/>
      <x:c r="G197" s="20"/>
      <x:c r="H197" s="20"/>
      <x:c r="I197" s="20"/>
      <x:c r="J197" s="20"/>
      <x:c r="K197" s="20"/>
      <x:c r="L197" s="20"/>
      <x:c r="M197" s="20"/>
      <x:c r="N197" s="20"/>
      <x:c r="O197" s="20"/>
      <x:c r="P197" s="20"/>
      <x:c r="Q197" s="20"/>
      <x:c r="R197" s="20"/>
      <x:c r="S197" s="20"/>
      <x:c r="T197" s="20"/>
      <x:c r="U197" s="20"/>
      <x:c r="V197" s="20"/>
      <x:c r="W197" s="20"/>
      <x:c r="X197" s="20"/>
      <x:c r="Y197" s="20"/>
      <x:c r="Z197" s="20"/>
    </x:row>
    <x:row r="198">
      <x:c r="A198" s="20"/>
      <x:c r="B198" s="20"/>
      <x:c r="C198" s="20"/>
      <x:c r="D198" s="20"/>
      <x:c r="E198" s="20"/>
      <x:c r="F198" s="20"/>
      <x:c r="G198" s="20"/>
      <x:c r="H198" s="20"/>
      <x:c r="I198" s="20"/>
      <x:c r="J198" s="20"/>
      <x:c r="K198" s="20"/>
      <x:c r="L198" s="20"/>
      <x:c r="M198" s="20"/>
      <x:c r="N198" s="20"/>
      <x:c r="O198" s="20"/>
      <x:c r="P198" s="20"/>
      <x:c r="Q198" s="20"/>
      <x:c r="R198" s="20"/>
      <x:c r="S198" s="20"/>
      <x:c r="T198" s="20"/>
      <x:c r="U198" s="20"/>
      <x:c r="V198" s="20"/>
      <x:c r="W198" s="20"/>
      <x:c r="X198" s="20"/>
      <x:c r="Y198" s="20"/>
      <x:c r="Z198" s="20"/>
    </x:row>
    <x:row r="199">
      <x:c r="A199" s="20"/>
      <x:c r="B199" s="20"/>
      <x:c r="C199" s="20"/>
      <x:c r="D199" s="20"/>
      <x:c r="E199" s="20"/>
      <x:c r="F199" s="20"/>
      <x:c r="G199" s="20"/>
      <x:c r="H199" s="20"/>
      <x:c r="I199" s="20"/>
      <x:c r="J199" s="20"/>
      <x:c r="K199" s="20"/>
      <x:c r="L199" s="20"/>
      <x:c r="M199" s="20"/>
      <x:c r="N199" s="20"/>
      <x:c r="O199" s="20"/>
      <x:c r="P199" s="20"/>
      <x:c r="Q199" s="20"/>
      <x:c r="R199" s="20"/>
      <x:c r="S199" s="20"/>
      <x:c r="T199" s="20"/>
      <x:c r="U199" s="20"/>
      <x:c r="V199" s="20"/>
      <x:c r="W199" s="20"/>
      <x:c r="X199" s="20"/>
      <x:c r="Y199" s="20"/>
      <x:c r="Z199" s="20"/>
    </x:row>
    <x:row r="200">
      <x:c r="A200" s="20"/>
      <x:c r="B200" s="20"/>
      <x:c r="C200" s="20"/>
      <x:c r="D200" s="20"/>
      <x:c r="E200" s="20"/>
      <x:c r="F200" s="20"/>
      <x:c r="G200" s="20"/>
      <x:c r="H200" s="20"/>
      <x:c r="I200" s="20"/>
      <x:c r="J200" s="20"/>
      <x:c r="K200" s="20"/>
      <x:c r="L200" s="20"/>
      <x:c r="M200" s="20"/>
      <x:c r="N200" s="20"/>
      <x:c r="O200" s="20"/>
      <x:c r="P200" s="20"/>
      <x:c r="Q200" s="20"/>
      <x:c r="R200" s="20"/>
      <x:c r="S200" s="20"/>
      <x:c r="T200" s="20"/>
      <x:c r="U200" s="20"/>
      <x:c r="V200" s="20"/>
      <x:c r="W200" s="20"/>
      <x:c r="X200" s="20"/>
      <x:c r="Y200" s="20"/>
      <x:c r="Z200" s="20"/>
    </x:row>
  </x:sheetData>
  <x:conditionalFormatting sqref="F2:F11">
    <x:cfRule type="dataBar" priority="1">
      <x:dataBar>
        <x:cfvo type="min"/>
        <x:cfvo type="max"/>
        <x:color rgb="FF5B9BD5"/>
      </x:dataBar>
      <x:extLst>
        <x:ext xmlns:x14="http://schemas.microsoft.com/office/spreadsheetml/2009/9/main" uri="{B025F937-C7B1-47D3-B67F-A62EFF666E3E}">
          <x14:id>{183A324A-F4B9-BEB0-3D03-76311F3B69A7}</x14:id>
        </x:ext>
      </x:extLst>
    </x:cfRule>
  </x:conditionalFormatting>
  <x:pageMargins left="0.7" right="0.7" top="0.75" bottom="0.75" header="0.3" footer="0.3"/>
  <x:drawing xmlns:r="http://schemas.openxmlformats.org/officeDocument/2006/relationships" r:id="Rfeef7975a57e41ac"/>
  <x:tableParts count="1">
    <x:tablePart xmlns:r="http://schemas.openxmlformats.org/officeDocument/2006/relationships" r:id="R60c178f9f8474c4b"/>
  </x:tableParts>
  <x:extLst>
    <x:ext xmlns:x14="http://schemas.microsoft.com/office/spreadsheetml/2009/9/main" xmlns:xm="http://schemas.microsoft.com/office/excel/2006/main" uri="{78C0D931-6437-407d-A8EE-F0AAD7539E65}">
      <x14:conditionalFormattings>
        <x14:conditionalFormatting>
          <x14:cfRule type="dataBar" priority="1" id="{183A324A-F4B9-BEB0-3D03-76311F3B69A7}">
            <x14:dataBar gradient="1">
              <x14:cfvo type="min"/>
              <x14:cfvo type="max"/>
              <x14:fillColor rgb="FF5B9BD5"/>
            </x14:dataBar>
          </x14:cfRule>
          <xm:sqref>F2:F11</xm:sqref>
        </x14:conditionalFormatting>
      </x14:conditionalFormattings>
    </x:ext>
  </x:extLst>
</x:worksheet>
</file>

<file path=xl/worksheets/sheet4.xml><?xml version="1.0" encoding="utf-8"?>
<x:worksheet xmlns:x="http://schemas.openxmlformats.org/spreadsheetml/2006/main">
  <x:sheetFormatPr defaultRowHeight="15"/>
  <x:cols>
    <x:col min="1" max="1" width="22" hidden="0" customWidth="1"/>
    <x:col min="2" max="2" width="14" hidden="0" customWidth="1"/>
    <x:col min="3" max="3" width="28" hidden="0" customWidth="1"/>
    <x:col min="4" max="4" width="52" hidden="0" customWidth="1"/>
    <x:col min="5" max="5" width="34" hidden="0" customWidth="1"/>
    <x:col min="6" max="6" width="48" hidden="0" customWidth="1"/>
    <x:col min="7" max="7" width="58" hidden="0" customWidth="1"/>
  </x:cols>
  <x:sheetData>
    <x:row r="1">
      <x:c r="A1" s="54" t="str">
        <x:v>Analytical Period</x:v>
      </x:c>
      <x:c r="B1" s="54" t="str">
        <x:v>Standard MSRP</x:v>
      </x:c>
      <x:c r="C1" s="54" t="str">
        <x:v>Status</x:v>
      </x:c>
      <x:c r="D1" s="54" t="str">
        <x:v>Evidence Basis</x:v>
      </x:c>
      <x:c r="E1" s="54" t="str">
        <x:v>Source</x:v>
      </x:c>
      <x:c r="F1" s="54" t="str">
        <x:v>URL</x:v>
      </x:c>
      <x:c r="G1" s="54" t="str">
        <x:v>Method Note</x:v>
      </x:c>
      <x:c r="H1" s="20"/>
      <x:c r="I1" s="20"/>
      <x:c r="J1" s="20"/>
      <x:c r="K1" s="20"/>
      <x:c r="L1" s="20"/>
      <x:c r="M1" s="20"/>
      <x:c r="N1" s="20"/>
      <x:c r="O1" s="20"/>
      <x:c r="P1" s="20"/>
      <x:c r="Q1" s="20"/>
      <x:c r="R1" s="20"/>
      <x:c r="S1" s="20"/>
      <x:c r="T1" s="20"/>
      <x:c r="U1" s="20"/>
      <x:c r="V1" s="20"/>
      <x:c r="W1" s="20"/>
      <x:c r="X1" s="20"/>
      <x:c r="Y1" s="20"/>
      <x:c r="Z1" s="20"/>
    </x:row>
    <x:row r="2">
      <x:c r="A2" s="20" t="str">
        <x:v>Jan 2019 – Jun 2021</x:v>
      </x:c>
      <x:c r="B2" s="28" t="n">
        <x:v>19.99</x:v>
      </x:c>
      <x:c r="C2" s="20" t="str">
        <x:v>Validated retail regime</x:v>
      </x:c>
      <x:c r="D2" s="20" t="str">
        <x:v>2019–2020 standard product plus Spring 2021 Hasbro product copy at $19.99</x:v>
      </x:c>
      <x:c r="E2" s="20" t="str">
        <x:v>ToyArk / Hasbro product copy</x:v>
      </x:c>
      <x:c r="F2" s="20" t="str">
        <x:v>https://www.toyark.com/2021/02/19/marvel-legends-cosmic-and-villains-wave-official-images-and-details-418401</x:v>
      </x:c>
      <x:c r="G2" s="20" t="str">
        <x:v>Some later-2021 product was announced at $22.99 before this retail regime ended.</x:v>
      </x:c>
      <x:c r="H2" s="20"/>
      <x:c r="I2" s="20"/>
      <x:c r="J2" s="20"/>
      <x:c r="K2" s="20"/>
      <x:c r="L2" s="20"/>
      <x:c r="M2" s="20"/>
      <x:c r="N2" s="20"/>
      <x:c r="O2" s="20"/>
      <x:c r="P2" s="20"/>
      <x:c r="Q2" s="20"/>
      <x:c r="R2" s="20"/>
      <x:c r="S2" s="20"/>
      <x:c r="T2" s="20"/>
      <x:c r="U2" s="20"/>
      <x:c r="V2" s="20"/>
      <x:c r="W2" s="20"/>
      <x:c r="X2" s="20"/>
      <x:c r="Y2" s="20"/>
      <x:c r="Z2" s="20"/>
    </x:row>
    <x:row r="3">
      <x:c r="A3" s="20" t="str">
        <x:v>Jul 2021 – Mar 2022</x:v>
      </x:c>
      <x:c r="B3" s="28" t="n">
        <x:v>22.99</x:v>
      </x:c>
      <x:c r="C3" s="20" t="str">
        <x:v>Validated analytical breakpoint</x:v>
      </x:c>
      <x:c r="D3" s="20" t="str">
        <x:v>Hasbro said 2021 price increases took effect in Q3; $22.99 appeared on newly announced standard assortments beforehand.</x:v>
      </x:c>
      <x:c r="E3" s="20" t="str">
        <x:v>Hasbro Q2 2021 Earnings Management Remarks</x:v>
      </x:c>
      <x:c r="F3" s="20" t="str">
        <x:v>https://hasbro.gcs-web.com/static-files/e58ba37c-69cc-47bd-be58-b07819f91681</x:v>
      </x:c>
      <x:c r="G3" s="20" t="str">
        <x:v>Use Jul-2021 as the retail-regime breakpoint; retailer and older-wave overlap is expected.</x:v>
      </x:c>
      <x:c r="H3" s="20"/>
      <x:c r="I3" s="20"/>
      <x:c r="J3" s="20"/>
      <x:c r="K3" s="20"/>
      <x:c r="L3" s="20"/>
      <x:c r="M3" s="20"/>
      <x:c r="N3" s="20"/>
      <x:c r="O3" s="20"/>
      <x:c r="P3" s="20"/>
      <x:c r="Q3" s="20"/>
      <x:c r="R3" s="20"/>
      <x:c r="S3" s="20"/>
      <x:c r="T3" s="20"/>
      <x:c r="U3" s="20"/>
      <x:c r="V3" s="20"/>
      <x:c r="W3" s="20"/>
      <x:c r="X3" s="20"/>
      <x:c r="Y3" s="20"/>
      <x:c r="Z3" s="20"/>
    </x:row>
    <x:row r="4">
      <x:c r="A4" s="20" t="str">
        <x:v>Apr 2022 – Aug 2025</x:v>
      </x:c>
      <x:c r="B4" s="28" t="n">
        <x:v>24.99</x:v>
      </x:c>
      <x:c r="C4" s="20" t="str">
        <x:v>Validated analytical breakpoint</x:v>
      </x:c>
      <x:c r="D4" s="20" t="str">
        <x:v>Hasbro scheduled additional increases for Q2 2022; standard Bonebreaker wave preorders were already $24.99 in February.</x:v>
      </x:c>
      <x:c r="E4" s="20" t="str">
        <x:v>Hasbro Q4 2021 Earnings Management Remarks</x:v>
      </x:c>
      <x:c r="F4" s="20" t="str">
        <x:v>https://investor.hasbro.com/static-files/52136bc2-ff14-4bb5-9290-482b28fd5220</x:v>
      </x:c>
      <x:c r="G4" s="20" t="str">
        <x:v>Use Apr-2022 as the retail-regime breakpoint; older $22.99 waves continued into early 2022.</x:v>
      </x:c>
      <x:c r="H4" s="20"/>
      <x:c r="I4" s="20"/>
      <x:c r="J4" s="20"/>
      <x:c r="K4" s="20"/>
      <x:c r="L4" s="20"/>
      <x:c r="M4" s="20"/>
      <x:c r="N4" s="20"/>
      <x:c r="O4" s="20"/>
      <x:c r="P4" s="20"/>
      <x:c r="Q4" s="20"/>
      <x:c r="R4" s="20"/>
      <x:c r="S4" s="20"/>
      <x:c r="T4" s="20"/>
      <x:c r="U4" s="20"/>
      <x:c r="V4" s="20"/>
      <x:c r="W4" s="20"/>
      <x:c r="X4" s="20"/>
      <x:c r="Y4" s="20"/>
      <x:c r="Z4" s="20"/>
    </x:row>
    <x:row r="5">
      <x:c r="A5" s="20" t="str">
        <x:v>Sep 2025 – 2026</x:v>
      </x:c>
      <x:c r="B5" s="28" t="n">
        <x:v>27.99</x:v>
      </x:c>
      <x:c r="C5" s="20" t="str">
        <x:v>Validated current regime</x:v>
      </x:c>
      <x:c r="D5" s="20" t="str">
        <x:v>New standard Marvel Legends releases moved to $27.99 in September 2025 and remain there in 2026.</x:v>
      </x:c>
      <x:c r="E5" s="20" t="str">
        <x:v>MarvelousNews / Hasbro Pulse</x:v>
      </x:c>
      <x:c r="F5" s="20" t="str">
        <x:v>https://marvelousnews.com/252-37497</x:v>
      </x:c>
      <x:c r="G5" s="20" t="str">
        <x:v>Current standard MSRP benchmark.</x:v>
      </x:c>
      <x:c r="H5" s="20"/>
      <x:c r="I5" s="20"/>
      <x:c r="J5" s="20"/>
      <x:c r="K5" s="20"/>
      <x:c r="L5" s="20"/>
      <x:c r="M5" s="20"/>
      <x:c r="N5" s="20"/>
      <x:c r="O5" s="20"/>
      <x:c r="P5" s="20"/>
      <x:c r="Q5" s="20"/>
      <x:c r="R5" s="20"/>
      <x:c r="S5" s="20"/>
      <x:c r="T5" s="20"/>
      <x:c r="U5" s="20"/>
      <x:c r="V5" s="20"/>
      <x:c r="W5" s="20"/>
      <x:c r="X5" s="20"/>
      <x:c r="Y5" s="20"/>
      <x:c r="Z5" s="20"/>
    </x:row>
    <x:row r="6">
      <x:c r="A6" s="20"/>
      <x:c r="B6" s="28"/>
      <x:c r="C6" s="20"/>
      <x:c r="D6" s="20"/>
      <x:c r="E6" s="20"/>
      <x:c r="F6" s="20"/>
      <x:c r="G6" s="20"/>
      <x:c r="H6" s="20"/>
      <x:c r="I6" s="20"/>
      <x:c r="J6" s="20"/>
      <x:c r="K6" s="20"/>
      <x:c r="L6" s="20"/>
      <x:c r="M6" s="20"/>
      <x:c r="N6" s="20"/>
      <x:c r="O6" s="20"/>
      <x:c r="P6" s="20"/>
      <x:c r="Q6" s="20"/>
      <x:c r="R6" s="20"/>
      <x:c r="S6" s="20"/>
      <x:c r="T6" s="20"/>
      <x:c r="U6" s="20"/>
      <x:c r="V6" s="20"/>
      <x:c r="W6" s="20"/>
      <x:c r="X6" s="20"/>
      <x:c r="Y6" s="20"/>
      <x:c r="Z6" s="20"/>
    </x:row>
    <x:row r="7">
      <x:c r="A7" s="20"/>
      <x:c r="B7" s="28"/>
      <x:c r="C7" s="20"/>
      <x:c r="D7" s="20"/>
      <x:c r="E7" s="20"/>
      <x:c r="F7" s="20"/>
      <x:c r="G7" s="20"/>
      <x:c r="H7" s="20"/>
      <x:c r="I7" s="20"/>
      <x:c r="J7" s="20"/>
      <x:c r="K7" s="20"/>
      <x:c r="L7" s="20"/>
      <x:c r="M7" s="20"/>
      <x:c r="N7" s="20"/>
      <x:c r="O7" s="20"/>
      <x:c r="P7" s="20"/>
      <x:c r="Q7" s="20"/>
      <x:c r="R7" s="20"/>
      <x:c r="S7" s="20"/>
      <x:c r="T7" s="20"/>
      <x:c r="U7" s="20"/>
      <x:c r="V7" s="20"/>
      <x:c r="W7" s="20"/>
      <x:c r="X7" s="20"/>
      <x:c r="Y7" s="20"/>
      <x:c r="Z7" s="20"/>
    </x:row>
    <x:row r="8">
      <x:c r="A8" s="20"/>
      <x:c r="B8" s="28"/>
      <x:c r="C8" s="20"/>
      <x:c r="D8" s="20"/>
      <x:c r="E8" s="20"/>
      <x:c r="F8" s="20"/>
      <x:c r="G8" s="20"/>
      <x:c r="H8" s="20"/>
      <x:c r="I8" s="20"/>
      <x:c r="J8" s="20"/>
      <x:c r="K8" s="20"/>
      <x:c r="L8" s="20"/>
      <x:c r="M8" s="20"/>
      <x:c r="N8" s="20"/>
      <x:c r="O8" s="20"/>
      <x:c r="P8" s="20"/>
      <x:c r="Q8" s="20"/>
      <x:c r="R8" s="20"/>
      <x:c r="S8" s="20"/>
      <x:c r="T8" s="20"/>
      <x:c r="U8" s="20"/>
      <x:c r="V8" s="20"/>
      <x:c r="W8" s="20"/>
      <x:c r="X8" s="20"/>
      <x:c r="Y8" s="20"/>
      <x:c r="Z8" s="20"/>
    </x:row>
    <x:row r="9">
      <x:c r="A9" s="20"/>
      <x:c r="B9" s="20"/>
      <x:c r="C9" s="20"/>
      <x:c r="D9" s="20"/>
      <x:c r="E9" s="20"/>
      <x:c r="F9" s="20"/>
      <x:c r="G9" s="20"/>
      <x:c r="H9" s="20"/>
      <x:c r="I9" s="20"/>
      <x:c r="J9" s="20"/>
      <x:c r="K9" s="20"/>
      <x:c r="L9" s="20"/>
      <x:c r="M9" s="20"/>
      <x:c r="N9" s="20"/>
      <x:c r="O9" s="20"/>
      <x:c r="P9" s="20"/>
      <x:c r="Q9" s="20"/>
      <x:c r="R9" s="20"/>
      <x:c r="S9" s="20"/>
      <x:c r="T9" s="20"/>
      <x:c r="U9" s="20"/>
      <x:c r="V9" s="20"/>
      <x:c r="W9" s="20"/>
      <x:c r="X9" s="20"/>
      <x:c r="Y9" s="20"/>
      <x:c r="Z9" s="20"/>
    </x:row>
    <x:row r="10">
      <x:c r="A10" s="20"/>
      <x:c r="B10" s="20"/>
      <x:c r="C10" s="20"/>
      <x:c r="D10" s="20"/>
      <x:c r="E10" s="20"/>
      <x:c r="F10" s="20"/>
      <x:c r="G10" s="20"/>
      <x:c r="H10" s="20"/>
      <x:c r="I10" s="20"/>
      <x:c r="J10" s="20"/>
      <x:c r="K10" s="20"/>
      <x:c r="L10" s="20"/>
      <x:c r="M10" s="20"/>
      <x:c r="N10" s="20"/>
      <x:c r="O10" s="20"/>
      <x:c r="P10" s="20"/>
      <x:c r="Q10" s="20"/>
      <x:c r="R10" s="20"/>
      <x:c r="S10" s="20"/>
      <x:c r="T10" s="20"/>
      <x:c r="U10" s="20"/>
      <x:c r="V10" s="20"/>
      <x:c r="W10" s="20"/>
      <x:c r="X10" s="20"/>
      <x:c r="Y10" s="20"/>
      <x:c r="Z10" s="20"/>
    </x:row>
    <x:row r="11">
      <x:c r="A11" s="20"/>
      <x:c r="B11" s="20"/>
      <x:c r="C11" s="20"/>
      <x:c r="D11" s="20"/>
      <x:c r="E11" s="20"/>
      <x:c r="F11" s="20"/>
      <x:c r="G11" s="20"/>
      <x:c r="H11" s="20"/>
      <x:c r="I11" s="20"/>
      <x:c r="J11" s="20"/>
      <x:c r="K11" s="20"/>
      <x:c r="L11" s="20"/>
      <x:c r="M11" s="20"/>
      <x:c r="N11" s="20"/>
      <x:c r="O11" s="20"/>
      <x:c r="P11" s="20"/>
      <x:c r="Q11" s="20"/>
      <x:c r="R11" s="20"/>
      <x:c r="S11" s="20"/>
      <x:c r="T11" s="20"/>
      <x:c r="U11" s="20"/>
      <x:c r="V11" s="20"/>
      <x:c r="W11" s="20"/>
      <x:c r="X11" s="20"/>
      <x:c r="Y11" s="20"/>
      <x:c r="Z11" s="20"/>
    </x:row>
    <x:row r="12">
      <x:c r="A12" s="20"/>
      <x:c r="B12" s="20"/>
      <x:c r="C12" s="20"/>
      <x:c r="D12" s="20"/>
      <x:c r="E12" s="20"/>
      <x:c r="F12" s="20"/>
      <x:c r="G12" s="20"/>
      <x:c r="H12" s="20"/>
      <x:c r="I12" s="20"/>
      <x:c r="J12" s="20"/>
      <x:c r="K12" s="20"/>
      <x:c r="L12" s="20"/>
      <x:c r="M12" s="20"/>
      <x:c r="N12" s="20"/>
      <x:c r="O12" s="20"/>
      <x:c r="P12" s="20"/>
      <x:c r="Q12" s="20"/>
      <x:c r="R12" s="20"/>
      <x:c r="S12" s="20"/>
      <x:c r="T12" s="20"/>
      <x:c r="U12" s="20"/>
      <x:c r="V12" s="20"/>
      <x:c r="W12" s="20"/>
      <x:c r="X12" s="20"/>
      <x:c r="Y12" s="20"/>
      <x:c r="Z12" s="20"/>
    </x:row>
    <x:row r="13">
      <x:c r="A13" s="20"/>
      <x:c r="B13" s="20"/>
      <x:c r="C13" s="20"/>
      <x:c r="D13" s="20"/>
      <x:c r="E13" s="20"/>
      <x:c r="F13" s="20"/>
      <x:c r="G13" s="20"/>
      <x:c r="H13" s="20"/>
      <x:c r="I13" s="20"/>
      <x:c r="J13" s="20"/>
      <x:c r="K13" s="20"/>
      <x:c r="L13" s="20"/>
      <x:c r="M13" s="20"/>
      <x:c r="N13" s="20"/>
      <x:c r="O13" s="20"/>
      <x:c r="P13" s="20"/>
      <x:c r="Q13" s="20"/>
      <x:c r="R13" s="20"/>
      <x:c r="S13" s="20"/>
      <x:c r="T13" s="20"/>
      <x:c r="U13" s="20"/>
      <x:c r="V13" s="20"/>
      <x:c r="W13" s="20"/>
      <x:c r="X13" s="20"/>
      <x:c r="Y13" s="20"/>
      <x:c r="Z13" s="20"/>
    </x:row>
    <x:row r="14">
      <x:c r="A14" s="20"/>
      <x:c r="B14" s="20"/>
      <x:c r="C14" s="20"/>
      <x:c r="D14" s="20"/>
      <x:c r="E14" s="20"/>
      <x:c r="F14" s="20"/>
      <x:c r="G14" s="20"/>
      <x:c r="H14" s="20"/>
      <x:c r="I14" s="20"/>
      <x:c r="J14" s="20"/>
      <x:c r="K14" s="20"/>
      <x:c r="L14" s="20"/>
      <x:c r="M14" s="20"/>
      <x:c r="N14" s="20"/>
      <x:c r="O14" s="20"/>
      <x:c r="P14" s="20"/>
      <x:c r="Q14" s="20"/>
      <x:c r="R14" s="20"/>
      <x:c r="S14" s="20"/>
      <x:c r="T14" s="20"/>
      <x:c r="U14" s="20"/>
      <x:c r="V14" s="20"/>
      <x:c r="W14" s="20"/>
      <x:c r="X14" s="20"/>
      <x:c r="Y14" s="20"/>
      <x:c r="Z14" s="20"/>
    </x:row>
    <x:row r="15">
      <x:c r="A15" s="20"/>
      <x:c r="B15" s="20"/>
      <x:c r="C15" s="20"/>
      <x:c r="D15" s="20"/>
      <x:c r="E15" s="20"/>
      <x:c r="F15" s="20"/>
      <x:c r="G15" s="20"/>
      <x:c r="H15" s="20"/>
      <x:c r="I15" s="20"/>
      <x:c r="J15" s="20"/>
      <x:c r="K15" s="20"/>
      <x:c r="L15" s="20"/>
      <x:c r="M15" s="20"/>
      <x:c r="N15" s="20"/>
      <x:c r="O15" s="20"/>
      <x:c r="P15" s="20"/>
      <x:c r="Q15" s="20"/>
      <x:c r="R15" s="20"/>
      <x:c r="S15" s="20"/>
      <x:c r="T15" s="20"/>
      <x:c r="U15" s="20"/>
      <x:c r="V15" s="20"/>
      <x:c r="W15" s="20"/>
      <x:c r="X15" s="20"/>
      <x:c r="Y15" s="20"/>
      <x:c r="Z15" s="20"/>
    </x:row>
    <x:row r="16">
      <x:c r="A16" s="20"/>
      <x:c r="B16" s="20"/>
      <x:c r="C16" s="20"/>
      <x:c r="D16" s="20"/>
      <x:c r="E16" s="20"/>
      <x:c r="F16" s="20"/>
      <x:c r="G16" s="20"/>
      <x:c r="H16" s="20"/>
      <x:c r="I16" s="20"/>
      <x:c r="J16" s="20"/>
      <x:c r="K16" s="20"/>
      <x:c r="L16" s="20"/>
      <x:c r="M16" s="20"/>
      <x:c r="N16" s="20"/>
      <x:c r="O16" s="20"/>
      <x:c r="P16" s="20"/>
      <x:c r="Q16" s="20"/>
      <x:c r="R16" s="20"/>
      <x:c r="S16" s="20"/>
      <x:c r="T16" s="20"/>
      <x:c r="U16" s="20"/>
      <x:c r="V16" s="20"/>
      <x:c r="W16" s="20"/>
      <x:c r="X16" s="20"/>
      <x:c r="Y16" s="20"/>
      <x:c r="Z16" s="20"/>
    </x:row>
    <x:row r="17">
      <x:c r="A17" s="20"/>
      <x:c r="B17" s="20"/>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row>
    <x:row r="18">
      <x:c r="A18" s="20"/>
      <x:c r="B18" s="20"/>
      <x:c r="C18" s="20"/>
      <x:c r="D18" s="20"/>
      <x:c r="E18" s="20"/>
      <x:c r="F18" s="20"/>
      <x:c r="G18" s="20"/>
      <x:c r="H18" s="20"/>
      <x:c r="I18" s="20"/>
      <x:c r="J18" s="20"/>
      <x:c r="K18" s="20"/>
      <x:c r="L18" s="20"/>
      <x:c r="M18" s="20"/>
      <x:c r="N18" s="20"/>
      <x:c r="O18" s="20"/>
      <x:c r="P18" s="20"/>
      <x:c r="Q18" s="20"/>
      <x:c r="R18" s="20"/>
      <x:c r="S18" s="20"/>
      <x:c r="T18" s="20"/>
      <x:c r="U18" s="20"/>
      <x:c r="V18" s="20"/>
      <x:c r="W18" s="20"/>
      <x:c r="X18" s="20"/>
      <x:c r="Y18" s="20"/>
      <x:c r="Z18" s="20"/>
    </x:row>
    <x:row r="19">
      <x:c r="A19" s="20"/>
      <x:c r="B19" s="20"/>
      <x:c r="C19" s="20"/>
      <x:c r="D19" s="20"/>
      <x:c r="E19" s="20"/>
      <x:c r="F19" s="20"/>
      <x:c r="G19" s="20"/>
      <x:c r="H19" s="20"/>
      <x:c r="I19" s="20"/>
      <x:c r="J19" s="20"/>
      <x:c r="K19" s="20"/>
      <x:c r="L19" s="20"/>
      <x:c r="M19" s="20"/>
      <x:c r="N19" s="20"/>
      <x:c r="O19" s="20"/>
      <x:c r="P19" s="20"/>
      <x:c r="Q19" s="20"/>
      <x:c r="R19" s="20"/>
      <x:c r="S19" s="20"/>
      <x:c r="T19" s="20"/>
      <x:c r="U19" s="20"/>
      <x:c r="V19" s="20"/>
      <x:c r="W19" s="20"/>
      <x:c r="X19" s="20"/>
      <x:c r="Y19" s="20"/>
      <x:c r="Z19" s="20"/>
    </x:row>
    <x:row r="20">
      <x:c r="A20" s="20"/>
      <x:c r="B20" s="20"/>
      <x:c r="C20" s="20"/>
      <x:c r="D20" s="20"/>
      <x:c r="E20" s="20"/>
      <x:c r="F20" s="20"/>
      <x:c r="G20" s="20"/>
      <x:c r="H20" s="20"/>
      <x:c r="I20" s="20"/>
      <x:c r="J20" s="20"/>
      <x:c r="K20" s="20"/>
      <x:c r="L20" s="20"/>
      <x:c r="M20" s="20"/>
      <x:c r="N20" s="20"/>
      <x:c r="O20" s="20"/>
      <x:c r="P20" s="20"/>
      <x:c r="Q20" s="20"/>
      <x:c r="R20" s="20"/>
      <x:c r="S20" s="20"/>
      <x:c r="T20" s="20"/>
      <x:c r="U20" s="20"/>
      <x:c r="V20" s="20"/>
      <x:c r="W20" s="20"/>
      <x:c r="X20" s="20"/>
      <x:c r="Y20" s="20"/>
      <x:c r="Z20" s="20"/>
    </x:row>
    <x:row r="21">
      <x:c r="A21" s="20"/>
      <x:c r="B21" s="20"/>
      <x:c r="C21" s="20"/>
      <x:c r="D21" s="20"/>
      <x:c r="E21" s="20"/>
      <x:c r="F21" s="20"/>
      <x:c r="G21" s="20"/>
      <x:c r="H21" s="20"/>
      <x:c r="I21" s="20"/>
      <x:c r="J21" s="20"/>
      <x:c r="K21" s="20"/>
      <x:c r="L21" s="20"/>
      <x:c r="M21" s="20"/>
      <x:c r="N21" s="20"/>
      <x:c r="O21" s="20"/>
      <x:c r="P21" s="20"/>
      <x:c r="Q21" s="20"/>
      <x:c r="R21" s="20"/>
      <x:c r="S21" s="20"/>
      <x:c r="T21" s="20"/>
      <x:c r="U21" s="20"/>
      <x:c r="V21" s="20"/>
      <x:c r="W21" s="20"/>
      <x:c r="X21" s="20"/>
      <x:c r="Y21" s="20"/>
      <x:c r="Z21" s="20"/>
    </x:row>
    <x:row r="22">
      <x:c r="A22" s="20"/>
      <x:c r="B22" s="20"/>
      <x:c r="C22" s="20"/>
      <x:c r="D22" s="20"/>
      <x:c r="E22" s="20"/>
      <x:c r="F22" s="20"/>
      <x:c r="G22" s="20"/>
      <x:c r="H22" s="20"/>
      <x:c r="I22" s="20"/>
      <x:c r="J22" s="20"/>
      <x:c r="K22" s="20"/>
      <x:c r="L22" s="20"/>
      <x:c r="M22" s="20"/>
      <x:c r="N22" s="20"/>
      <x:c r="O22" s="20"/>
      <x:c r="P22" s="20"/>
      <x:c r="Q22" s="20"/>
      <x:c r="R22" s="20"/>
      <x:c r="S22" s="20"/>
      <x:c r="T22" s="20"/>
      <x:c r="U22" s="20"/>
      <x:c r="V22" s="20"/>
      <x:c r="W22" s="20"/>
      <x:c r="X22" s="20"/>
      <x:c r="Y22" s="20"/>
      <x:c r="Z22" s="20"/>
    </x:row>
    <x:row r="23">
      <x:c r="A23" s="20"/>
      <x:c r="B23" s="20"/>
      <x:c r="C23" s="20"/>
      <x:c r="D23" s="20"/>
      <x:c r="E23" s="20"/>
      <x:c r="F23" s="20"/>
      <x:c r="G23" s="20"/>
      <x:c r="H23" s="20"/>
      <x:c r="I23" s="20"/>
      <x:c r="J23" s="20"/>
      <x:c r="K23" s="20"/>
      <x:c r="L23" s="20"/>
      <x:c r="M23" s="20"/>
      <x:c r="N23" s="20"/>
      <x:c r="O23" s="20"/>
      <x:c r="P23" s="20"/>
      <x:c r="Q23" s="20"/>
      <x:c r="R23" s="20"/>
      <x:c r="S23" s="20"/>
      <x:c r="T23" s="20"/>
      <x:c r="U23" s="20"/>
      <x:c r="V23" s="20"/>
      <x:c r="W23" s="20"/>
      <x:c r="X23" s="20"/>
      <x:c r="Y23" s="20"/>
      <x:c r="Z23" s="20"/>
    </x:row>
    <x:row r="24">
      <x:c r="A24" s="20"/>
      <x:c r="B24" s="20"/>
      <x:c r="C24" s="20"/>
      <x:c r="D24" s="20"/>
      <x:c r="E24" s="20"/>
      <x:c r="F24" s="20"/>
      <x:c r="G24" s="20"/>
      <x:c r="H24" s="20"/>
      <x:c r="I24" s="20"/>
      <x:c r="J24" s="20"/>
      <x:c r="K24" s="20"/>
      <x:c r="L24" s="20"/>
      <x:c r="M24" s="20"/>
      <x:c r="N24" s="20"/>
      <x:c r="O24" s="20"/>
      <x:c r="P24" s="20"/>
      <x:c r="Q24" s="20"/>
      <x:c r="R24" s="20"/>
      <x:c r="S24" s="20"/>
      <x:c r="T24" s="20"/>
      <x:c r="U24" s="20"/>
      <x:c r="V24" s="20"/>
      <x:c r="W24" s="20"/>
      <x:c r="X24" s="20"/>
      <x:c r="Y24" s="20"/>
      <x:c r="Z24" s="20"/>
    </x:row>
    <x:row r="25">
      <x:c r="A25" s="20"/>
      <x:c r="B25" s="20"/>
      <x:c r="C25" s="20"/>
      <x:c r="D25" s="20"/>
      <x:c r="E25" s="20"/>
      <x:c r="F25" s="20"/>
      <x:c r="G25" s="20"/>
      <x:c r="H25" s="20"/>
      <x:c r="I25" s="20"/>
      <x:c r="J25" s="20"/>
      <x:c r="K25" s="20"/>
      <x:c r="L25" s="20"/>
      <x:c r="M25" s="20"/>
      <x:c r="N25" s="20"/>
      <x:c r="O25" s="20"/>
      <x:c r="P25" s="20"/>
      <x:c r="Q25" s="20"/>
      <x:c r="R25" s="20"/>
      <x:c r="S25" s="20"/>
      <x:c r="T25" s="20"/>
      <x:c r="U25" s="20"/>
      <x:c r="V25" s="20"/>
      <x:c r="W25" s="20"/>
      <x:c r="X25" s="20"/>
      <x:c r="Y25" s="20"/>
      <x:c r="Z25" s="20"/>
    </x:row>
    <x:row r="26">
      <x:c r="A26" s="20"/>
      <x:c r="B26" s="20"/>
      <x:c r="C26" s="20"/>
      <x:c r="D26" s="20"/>
      <x:c r="E26" s="20"/>
      <x:c r="F26" s="20"/>
      <x:c r="G26" s="20"/>
      <x:c r="H26" s="20"/>
      <x:c r="I26" s="20"/>
      <x:c r="J26" s="20"/>
      <x:c r="K26" s="20"/>
      <x:c r="L26" s="20"/>
      <x:c r="M26" s="20"/>
      <x:c r="N26" s="20"/>
      <x:c r="O26" s="20"/>
      <x:c r="P26" s="20"/>
      <x:c r="Q26" s="20"/>
      <x:c r="R26" s="20"/>
      <x:c r="S26" s="20"/>
      <x:c r="T26" s="20"/>
      <x:c r="U26" s="20"/>
      <x:c r="V26" s="20"/>
      <x:c r="W26" s="20"/>
      <x:c r="X26" s="20"/>
      <x:c r="Y26" s="20"/>
      <x:c r="Z26" s="20"/>
    </x:row>
    <x:row r="27">
      <x:c r="A27" s="20"/>
      <x:c r="B27" s="20"/>
      <x:c r="C27" s="20"/>
      <x:c r="D27" s="20"/>
      <x:c r="E27" s="20"/>
      <x:c r="F27" s="20"/>
      <x:c r="G27" s="20"/>
      <x:c r="H27" s="20"/>
      <x:c r="I27" s="20"/>
      <x:c r="J27" s="20"/>
      <x:c r="K27" s="20"/>
      <x:c r="L27" s="20"/>
      <x:c r="M27" s="20"/>
      <x:c r="N27" s="20"/>
      <x:c r="O27" s="20"/>
      <x:c r="P27" s="20"/>
      <x:c r="Q27" s="20"/>
      <x:c r="R27" s="20"/>
      <x:c r="S27" s="20"/>
      <x:c r="T27" s="20"/>
      <x:c r="U27" s="20"/>
      <x:c r="V27" s="20"/>
      <x:c r="W27" s="20"/>
      <x:c r="X27" s="20"/>
      <x:c r="Y27" s="20"/>
      <x:c r="Z27" s="20"/>
    </x:row>
    <x:row r="28">
      <x:c r="A28" s="20"/>
      <x:c r="B28" s="20"/>
      <x:c r="C28" s="20"/>
      <x:c r="D28" s="20"/>
      <x:c r="E28" s="20"/>
      <x:c r="F28" s="20"/>
      <x:c r="G28" s="20"/>
      <x:c r="H28" s="20"/>
      <x:c r="I28" s="20"/>
      <x:c r="J28" s="20"/>
      <x:c r="K28" s="20"/>
      <x:c r="L28" s="20"/>
      <x:c r="M28" s="20"/>
      <x:c r="N28" s="20"/>
      <x:c r="O28" s="20"/>
      <x:c r="P28" s="20"/>
      <x:c r="Q28" s="20"/>
      <x:c r="R28" s="20"/>
      <x:c r="S28" s="20"/>
      <x:c r="T28" s="20"/>
      <x:c r="U28" s="20"/>
      <x:c r="V28" s="20"/>
      <x:c r="W28" s="20"/>
      <x:c r="X28" s="20"/>
      <x:c r="Y28" s="20"/>
      <x:c r="Z28" s="20"/>
    </x:row>
    <x:row r="29">
      <x:c r="A29" s="20"/>
      <x:c r="B29" s="20"/>
      <x:c r="C29" s="20"/>
      <x:c r="D29" s="20"/>
      <x:c r="E29" s="20"/>
      <x:c r="F29" s="20"/>
      <x:c r="G29" s="20"/>
      <x:c r="H29" s="20"/>
      <x:c r="I29" s="20"/>
      <x:c r="J29" s="20"/>
      <x:c r="K29" s="20"/>
      <x:c r="L29" s="20"/>
      <x:c r="M29" s="20"/>
      <x:c r="N29" s="20"/>
      <x:c r="O29" s="20"/>
      <x:c r="P29" s="20"/>
      <x:c r="Q29" s="20"/>
      <x:c r="R29" s="20"/>
      <x:c r="S29" s="20"/>
      <x:c r="T29" s="20"/>
      <x:c r="U29" s="20"/>
      <x:c r="V29" s="20"/>
      <x:c r="W29" s="20"/>
      <x:c r="X29" s="20"/>
      <x:c r="Y29" s="20"/>
      <x:c r="Z29" s="20"/>
    </x:row>
    <x:row r="30">
      <x:c r="A30" s="20"/>
      <x:c r="B30" s="20"/>
      <x:c r="C30" s="20"/>
      <x:c r="D30" s="20"/>
      <x:c r="E30" s="20"/>
      <x:c r="F30" s="20"/>
      <x:c r="G30" s="20"/>
      <x:c r="H30" s="20"/>
      <x:c r="I30" s="20"/>
      <x:c r="J30" s="20"/>
      <x:c r="K30" s="20"/>
      <x:c r="L30" s="20"/>
      <x:c r="M30" s="20"/>
      <x:c r="N30" s="20"/>
      <x:c r="O30" s="20"/>
      <x:c r="P30" s="20"/>
      <x:c r="Q30" s="20"/>
      <x:c r="R30" s="20"/>
      <x:c r="S30" s="20"/>
      <x:c r="T30" s="20"/>
      <x:c r="U30" s="20"/>
      <x:c r="V30" s="20"/>
      <x:c r="W30" s="20"/>
      <x:c r="X30" s="20"/>
      <x:c r="Y30" s="20"/>
      <x:c r="Z30" s="20"/>
    </x:row>
    <x:row r="31">
      <x:c r="A31" s="20"/>
      <x:c r="B31" s="20"/>
      <x:c r="C31" s="20"/>
      <x:c r="D31" s="20"/>
      <x:c r="E31" s="20"/>
      <x:c r="F31" s="20"/>
      <x:c r="G31" s="20"/>
      <x:c r="H31" s="20"/>
      <x:c r="I31" s="20"/>
      <x:c r="J31" s="20"/>
      <x:c r="K31" s="20"/>
      <x:c r="L31" s="20"/>
      <x:c r="M31" s="20"/>
      <x:c r="N31" s="20"/>
      <x:c r="O31" s="20"/>
      <x:c r="P31" s="20"/>
      <x:c r="Q31" s="20"/>
      <x:c r="R31" s="20"/>
      <x:c r="S31" s="20"/>
      <x:c r="T31" s="20"/>
      <x:c r="U31" s="20"/>
      <x:c r="V31" s="20"/>
      <x:c r="W31" s="20"/>
      <x:c r="X31" s="20"/>
      <x:c r="Y31" s="20"/>
      <x:c r="Z31" s="20"/>
    </x:row>
    <x:row r="32">
      <x:c r="A32" s="20"/>
      <x:c r="B32" s="20"/>
      <x:c r="C32" s="20"/>
      <x:c r="D32" s="20"/>
      <x:c r="E32" s="20"/>
      <x:c r="F32" s="20"/>
      <x:c r="G32" s="20"/>
      <x:c r="H32" s="20"/>
      <x:c r="I32" s="20"/>
      <x:c r="J32" s="20"/>
      <x:c r="K32" s="20"/>
      <x:c r="L32" s="20"/>
      <x:c r="M32" s="20"/>
      <x:c r="N32" s="20"/>
      <x:c r="O32" s="20"/>
      <x:c r="P32" s="20"/>
      <x:c r="Q32" s="20"/>
      <x:c r="R32" s="20"/>
      <x:c r="S32" s="20"/>
      <x:c r="T32" s="20"/>
      <x:c r="U32" s="20"/>
      <x:c r="V32" s="20"/>
      <x:c r="W32" s="20"/>
      <x:c r="X32" s="20"/>
      <x:c r="Y32" s="20"/>
      <x:c r="Z32" s="20"/>
    </x:row>
    <x:row r="33">
      <x:c r="A33" s="20"/>
      <x:c r="B33" s="20"/>
      <x:c r="C33" s="20"/>
      <x:c r="D33" s="20"/>
      <x:c r="E33" s="20"/>
      <x:c r="F33" s="20"/>
      <x:c r="G33" s="20"/>
      <x:c r="H33" s="20"/>
      <x:c r="I33" s="20"/>
      <x:c r="J33" s="20"/>
      <x:c r="K33" s="20"/>
      <x:c r="L33" s="20"/>
      <x:c r="M33" s="20"/>
      <x:c r="N33" s="20"/>
      <x:c r="O33" s="20"/>
      <x:c r="P33" s="20"/>
      <x:c r="Q33" s="20"/>
      <x:c r="R33" s="20"/>
      <x:c r="S33" s="20"/>
      <x:c r="T33" s="20"/>
      <x:c r="U33" s="20"/>
      <x:c r="V33" s="20"/>
      <x:c r="W33" s="20"/>
      <x:c r="X33" s="20"/>
      <x:c r="Y33" s="20"/>
      <x:c r="Z33" s="20"/>
    </x:row>
    <x:row r="34">
      <x:c r="A34" s="20"/>
      <x:c r="B34" s="20"/>
      <x:c r="C34" s="20"/>
      <x:c r="D34" s="20"/>
      <x:c r="E34" s="20"/>
      <x:c r="F34" s="20"/>
      <x:c r="G34" s="20"/>
      <x:c r="H34" s="20"/>
      <x:c r="I34" s="20"/>
      <x:c r="J34" s="20"/>
      <x:c r="K34" s="20"/>
      <x:c r="L34" s="20"/>
      <x:c r="M34" s="20"/>
      <x:c r="N34" s="20"/>
      <x:c r="O34" s="20"/>
      <x:c r="P34" s="20"/>
      <x:c r="Q34" s="20"/>
      <x:c r="R34" s="20"/>
      <x:c r="S34" s="20"/>
      <x:c r="T34" s="20"/>
      <x:c r="U34" s="20"/>
      <x:c r="V34" s="20"/>
      <x:c r="W34" s="20"/>
      <x:c r="X34" s="20"/>
      <x:c r="Y34" s="20"/>
      <x:c r="Z34" s="20"/>
    </x:row>
    <x:row r="35">
      <x:c r="A35" s="20"/>
      <x:c r="B35" s="20"/>
      <x:c r="C35" s="20"/>
      <x:c r="D35" s="20"/>
      <x:c r="E35" s="20"/>
      <x:c r="F35" s="20"/>
      <x:c r="G35" s="20"/>
      <x:c r="H35" s="20"/>
      <x:c r="I35" s="20"/>
      <x:c r="J35" s="20"/>
      <x:c r="K35" s="20"/>
      <x:c r="L35" s="20"/>
      <x:c r="M35" s="20"/>
      <x:c r="N35" s="20"/>
      <x:c r="O35" s="20"/>
      <x:c r="P35" s="20"/>
      <x:c r="Q35" s="20"/>
      <x:c r="R35" s="20"/>
      <x:c r="S35" s="20"/>
      <x:c r="T35" s="20"/>
      <x:c r="U35" s="20"/>
      <x:c r="V35" s="20"/>
      <x:c r="W35" s="20"/>
      <x:c r="X35" s="20"/>
      <x:c r="Y35" s="20"/>
      <x:c r="Z35" s="20"/>
    </x:row>
    <x:row r="36">
      <x:c r="A36" s="20"/>
      <x:c r="B36" s="20"/>
      <x:c r="C36" s="20"/>
      <x:c r="D36" s="20"/>
      <x:c r="E36" s="20"/>
      <x:c r="F36" s="20"/>
      <x:c r="G36" s="20"/>
      <x:c r="H36" s="20"/>
      <x:c r="I36" s="20"/>
      <x:c r="J36" s="20"/>
      <x:c r="K36" s="20"/>
      <x:c r="L36" s="20"/>
      <x:c r="M36" s="20"/>
      <x:c r="N36" s="20"/>
      <x:c r="O36" s="20"/>
      <x:c r="P36" s="20"/>
      <x:c r="Q36" s="20"/>
      <x:c r="R36" s="20"/>
      <x:c r="S36" s="20"/>
      <x:c r="T36" s="20"/>
      <x:c r="U36" s="20"/>
      <x:c r="V36" s="20"/>
      <x:c r="W36" s="20"/>
      <x:c r="X36" s="20"/>
      <x:c r="Y36" s="20"/>
      <x:c r="Z36" s="20"/>
    </x:row>
    <x:row r="37">
      <x:c r="A37" s="20"/>
      <x:c r="B37" s="20"/>
      <x:c r="C37" s="20"/>
      <x:c r="D37" s="20"/>
      <x:c r="E37" s="20"/>
      <x:c r="F37" s="20"/>
      <x:c r="G37" s="20"/>
      <x:c r="H37" s="20"/>
      <x:c r="I37" s="20"/>
      <x:c r="J37" s="20"/>
      <x:c r="K37" s="20"/>
      <x:c r="L37" s="20"/>
      <x:c r="M37" s="20"/>
      <x:c r="N37" s="20"/>
      <x:c r="O37" s="20"/>
      <x:c r="P37" s="20"/>
      <x:c r="Q37" s="20"/>
      <x:c r="R37" s="20"/>
      <x:c r="S37" s="20"/>
      <x:c r="T37" s="20"/>
      <x:c r="U37" s="20"/>
      <x:c r="V37" s="20"/>
      <x:c r="W37" s="20"/>
      <x:c r="X37" s="20"/>
      <x:c r="Y37" s="20"/>
      <x:c r="Z37" s="20"/>
    </x:row>
    <x:row r="38">
      <x:c r="A38" s="20"/>
      <x:c r="B38" s="20"/>
      <x:c r="C38" s="20"/>
      <x:c r="D38" s="20"/>
      <x:c r="E38" s="20"/>
      <x:c r="F38" s="20"/>
      <x:c r="G38" s="20"/>
      <x:c r="H38" s="20"/>
      <x:c r="I38" s="20"/>
      <x:c r="J38" s="20"/>
      <x:c r="K38" s="20"/>
      <x:c r="L38" s="20"/>
      <x:c r="M38" s="20"/>
      <x:c r="N38" s="20"/>
      <x:c r="O38" s="20"/>
      <x:c r="P38" s="20"/>
      <x:c r="Q38" s="20"/>
      <x:c r="R38" s="20"/>
      <x:c r="S38" s="20"/>
      <x:c r="T38" s="20"/>
      <x:c r="U38" s="20"/>
      <x:c r="V38" s="20"/>
      <x:c r="W38" s="20"/>
      <x:c r="X38" s="20"/>
      <x:c r="Y38" s="20"/>
      <x:c r="Z38" s="20"/>
    </x:row>
    <x:row r="39">
      <x:c r="A39" s="20"/>
      <x:c r="B39" s="20"/>
      <x:c r="C39" s="20"/>
      <x:c r="D39" s="20"/>
      <x:c r="E39" s="20"/>
      <x:c r="F39" s="20"/>
      <x:c r="G39" s="20"/>
      <x:c r="H39" s="20"/>
      <x:c r="I39" s="20"/>
      <x:c r="J39" s="20"/>
      <x:c r="K39" s="20"/>
      <x:c r="L39" s="20"/>
      <x:c r="M39" s="20"/>
      <x:c r="N39" s="20"/>
      <x:c r="O39" s="20"/>
      <x:c r="P39" s="20"/>
      <x:c r="Q39" s="20"/>
      <x:c r="R39" s="20"/>
      <x:c r="S39" s="20"/>
      <x:c r="T39" s="20"/>
      <x:c r="U39" s="20"/>
      <x:c r="V39" s="20"/>
      <x:c r="W39" s="20"/>
      <x:c r="X39" s="20"/>
      <x:c r="Y39" s="20"/>
      <x:c r="Z39" s="20"/>
    </x:row>
    <x:row r="40">
      <x:c r="A40" s="20"/>
      <x:c r="B40" s="20"/>
      <x:c r="C40" s="20"/>
      <x:c r="D40" s="20"/>
      <x:c r="E40" s="20"/>
      <x:c r="F40" s="20"/>
      <x:c r="G40" s="20"/>
      <x:c r="H40" s="20"/>
      <x:c r="I40" s="20"/>
      <x:c r="J40" s="20"/>
      <x:c r="K40" s="20"/>
      <x:c r="L40" s="20"/>
      <x:c r="M40" s="20"/>
      <x:c r="N40" s="20"/>
      <x:c r="O40" s="20"/>
      <x:c r="P40" s="20"/>
      <x:c r="Q40" s="20"/>
      <x:c r="R40" s="20"/>
      <x:c r="S40" s="20"/>
      <x:c r="T40" s="20"/>
      <x:c r="U40" s="20"/>
      <x:c r="V40" s="20"/>
      <x:c r="W40" s="20"/>
      <x:c r="X40" s="20"/>
      <x:c r="Y40" s="20"/>
      <x:c r="Z40" s="20"/>
    </x:row>
    <x:row r="41">
      <x:c r="A41" s="20"/>
      <x:c r="B41" s="20"/>
      <x:c r="C41" s="20"/>
      <x:c r="D41" s="20"/>
      <x:c r="E41" s="20"/>
      <x:c r="F41" s="20"/>
      <x:c r="G41" s="20"/>
      <x:c r="H41" s="20"/>
      <x:c r="I41" s="20"/>
      <x:c r="J41" s="20"/>
      <x:c r="K41" s="20"/>
      <x:c r="L41" s="20"/>
      <x:c r="M41" s="20"/>
      <x:c r="N41" s="20"/>
      <x:c r="O41" s="20"/>
      <x:c r="P41" s="20"/>
      <x:c r="Q41" s="20"/>
      <x:c r="R41" s="20"/>
      <x:c r="S41" s="20"/>
      <x:c r="T41" s="20"/>
      <x:c r="U41" s="20"/>
      <x:c r="V41" s="20"/>
      <x:c r="W41" s="20"/>
      <x:c r="X41" s="20"/>
      <x:c r="Y41" s="20"/>
      <x:c r="Z41" s="20"/>
    </x:row>
    <x:row r="42">
      <x:c r="A42" s="20"/>
      <x:c r="B42" s="20"/>
      <x:c r="C42" s="20"/>
      <x:c r="D42" s="20"/>
      <x:c r="E42" s="20"/>
      <x:c r="F42" s="20"/>
      <x:c r="G42" s="20"/>
      <x:c r="H42" s="20"/>
      <x:c r="I42" s="20"/>
      <x:c r="J42" s="20"/>
      <x:c r="K42" s="20"/>
      <x:c r="L42" s="20"/>
      <x:c r="M42" s="20"/>
      <x:c r="N42" s="20"/>
      <x:c r="O42" s="20"/>
      <x:c r="P42" s="20"/>
      <x:c r="Q42" s="20"/>
      <x:c r="R42" s="20"/>
      <x:c r="S42" s="20"/>
      <x:c r="T42" s="20"/>
      <x:c r="U42" s="20"/>
      <x:c r="V42" s="20"/>
      <x:c r="W42" s="20"/>
      <x:c r="X42" s="20"/>
      <x:c r="Y42" s="20"/>
      <x:c r="Z42" s="20"/>
    </x:row>
    <x:row r="43">
      <x:c r="A43" s="20"/>
      <x:c r="B43" s="20"/>
      <x:c r="C43" s="20"/>
      <x:c r="D43" s="20"/>
      <x:c r="E43" s="20"/>
      <x:c r="F43" s="20"/>
      <x:c r="G43" s="20"/>
      <x:c r="H43" s="20"/>
      <x:c r="I43" s="20"/>
      <x:c r="J43" s="20"/>
      <x:c r="K43" s="20"/>
      <x:c r="L43" s="20"/>
      <x:c r="M43" s="20"/>
      <x:c r="N43" s="20"/>
      <x:c r="O43" s="20"/>
      <x:c r="P43" s="20"/>
      <x:c r="Q43" s="20"/>
      <x:c r="R43" s="20"/>
      <x:c r="S43" s="20"/>
      <x:c r="T43" s="20"/>
      <x:c r="U43" s="20"/>
      <x:c r="V43" s="20"/>
      <x:c r="W43" s="20"/>
      <x:c r="X43" s="20"/>
      <x:c r="Y43" s="20"/>
      <x:c r="Z43" s="20"/>
    </x:row>
    <x:row r="44">
      <x:c r="A44" s="20"/>
      <x:c r="B44" s="20"/>
      <x:c r="C44" s="20"/>
      <x:c r="D44" s="20"/>
      <x:c r="E44" s="20"/>
      <x:c r="F44" s="20"/>
      <x:c r="G44" s="20"/>
      <x:c r="H44" s="20"/>
      <x:c r="I44" s="20"/>
      <x:c r="J44" s="20"/>
      <x:c r="K44" s="20"/>
      <x:c r="L44" s="20"/>
      <x:c r="M44" s="20"/>
      <x:c r="N44" s="20"/>
      <x:c r="O44" s="20"/>
      <x:c r="P44" s="20"/>
      <x:c r="Q44" s="20"/>
      <x:c r="R44" s="20"/>
      <x:c r="S44" s="20"/>
      <x:c r="T44" s="20"/>
      <x:c r="U44" s="20"/>
      <x:c r="V44" s="20"/>
      <x:c r="W44" s="20"/>
      <x:c r="X44" s="20"/>
      <x:c r="Y44" s="20"/>
      <x:c r="Z44" s="20"/>
    </x:row>
    <x:row r="45">
      <x:c r="A45" s="20"/>
      <x:c r="B45" s="20"/>
      <x:c r="C45" s="20"/>
      <x:c r="D45" s="20"/>
      <x:c r="E45" s="20"/>
      <x:c r="F45" s="20"/>
      <x:c r="G45" s="20"/>
      <x:c r="H45" s="20"/>
      <x:c r="I45" s="20"/>
      <x:c r="J45" s="20"/>
      <x:c r="K45" s="20"/>
      <x:c r="L45" s="20"/>
      <x:c r="M45" s="20"/>
      <x:c r="N45" s="20"/>
      <x:c r="O45" s="20"/>
      <x:c r="P45" s="20"/>
      <x:c r="Q45" s="20"/>
      <x:c r="R45" s="20"/>
      <x:c r="S45" s="20"/>
      <x:c r="T45" s="20"/>
      <x:c r="U45" s="20"/>
      <x:c r="V45" s="20"/>
      <x:c r="W45" s="20"/>
      <x:c r="X45" s="20"/>
      <x:c r="Y45" s="20"/>
      <x:c r="Z45" s="20"/>
    </x:row>
    <x:row r="46">
      <x:c r="A46" s="20"/>
      <x:c r="B46" s="20"/>
      <x:c r="C46" s="20"/>
      <x:c r="D46" s="20"/>
      <x:c r="E46" s="20"/>
      <x:c r="F46" s="20"/>
      <x:c r="G46" s="20"/>
      <x:c r="H46" s="20"/>
      <x:c r="I46" s="20"/>
      <x:c r="J46" s="20"/>
      <x:c r="K46" s="20"/>
      <x:c r="L46" s="20"/>
      <x:c r="M46" s="20"/>
      <x:c r="N46" s="20"/>
      <x:c r="O46" s="20"/>
      <x:c r="P46" s="20"/>
      <x:c r="Q46" s="20"/>
      <x:c r="R46" s="20"/>
      <x:c r="S46" s="20"/>
      <x:c r="T46" s="20"/>
      <x:c r="U46" s="20"/>
      <x:c r="V46" s="20"/>
      <x:c r="W46" s="20"/>
      <x:c r="X46" s="20"/>
      <x:c r="Y46" s="20"/>
      <x:c r="Z46" s="20"/>
    </x:row>
    <x:row r="47">
      <x:c r="A47" s="20"/>
      <x:c r="B47" s="20"/>
      <x:c r="C47" s="20"/>
      <x:c r="D47" s="20"/>
      <x:c r="E47" s="20"/>
      <x:c r="F47" s="20"/>
      <x:c r="G47" s="20"/>
      <x:c r="H47" s="20"/>
      <x:c r="I47" s="20"/>
      <x:c r="J47" s="20"/>
      <x:c r="K47" s="20"/>
      <x:c r="L47" s="20"/>
      <x:c r="M47" s="20"/>
      <x:c r="N47" s="20"/>
      <x:c r="O47" s="20"/>
      <x:c r="P47" s="20"/>
      <x:c r="Q47" s="20"/>
      <x:c r="R47" s="20"/>
      <x:c r="S47" s="20"/>
      <x:c r="T47" s="20"/>
      <x:c r="U47" s="20"/>
      <x:c r="V47" s="20"/>
      <x:c r="W47" s="20"/>
      <x:c r="X47" s="20"/>
      <x:c r="Y47" s="20"/>
      <x:c r="Z47" s="20"/>
    </x:row>
    <x:row r="48">
      <x:c r="A48" s="20"/>
      <x:c r="B48" s="20"/>
      <x:c r="C48" s="20"/>
      <x:c r="D48" s="20"/>
      <x:c r="E48" s="20"/>
      <x:c r="F48" s="20"/>
      <x:c r="G48" s="20"/>
      <x:c r="H48" s="20"/>
      <x:c r="I48" s="20"/>
      <x:c r="J48" s="20"/>
      <x:c r="K48" s="20"/>
      <x:c r="L48" s="20"/>
      <x:c r="M48" s="20"/>
      <x:c r="N48" s="20"/>
      <x:c r="O48" s="20"/>
      <x:c r="P48" s="20"/>
      <x:c r="Q48" s="20"/>
      <x:c r="R48" s="20"/>
      <x:c r="S48" s="20"/>
      <x:c r="T48" s="20"/>
      <x:c r="U48" s="20"/>
      <x:c r="V48" s="20"/>
      <x:c r="W48" s="20"/>
      <x:c r="X48" s="20"/>
      <x:c r="Y48" s="20"/>
      <x:c r="Z48" s="20"/>
    </x:row>
    <x:row r="49">
      <x:c r="A49" s="20"/>
      <x:c r="B49" s="20"/>
      <x:c r="C49" s="20"/>
      <x:c r="D49" s="20"/>
      <x:c r="E49" s="20"/>
      <x:c r="F49" s="20"/>
      <x:c r="G49" s="20"/>
      <x:c r="H49" s="20"/>
      <x:c r="I49" s="20"/>
      <x:c r="J49" s="20"/>
      <x:c r="K49" s="20"/>
      <x:c r="L49" s="20"/>
      <x:c r="M49" s="20"/>
      <x:c r="N49" s="20"/>
      <x:c r="O49" s="20"/>
      <x:c r="P49" s="20"/>
      <x:c r="Q49" s="20"/>
      <x:c r="R49" s="20"/>
      <x:c r="S49" s="20"/>
      <x:c r="T49" s="20"/>
      <x:c r="U49" s="20"/>
      <x:c r="V49" s="20"/>
      <x:c r="W49" s="20"/>
      <x:c r="X49" s="20"/>
      <x:c r="Y49" s="20"/>
      <x:c r="Z49" s="20"/>
    </x:row>
    <x:row r="50">
      <x:c r="A50" s="20"/>
      <x:c r="B50" s="20"/>
      <x:c r="C50" s="20"/>
      <x:c r="D50" s="20"/>
      <x:c r="E50" s="20"/>
      <x:c r="F50" s="20"/>
      <x:c r="G50" s="20"/>
      <x:c r="H50" s="20"/>
      <x:c r="I50" s="20"/>
      <x:c r="J50" s="20"/>
      <x:c r="K50" s="20"/>
      <x:c r="L50" s="20"/>
      <x:c r="M50" s="20"/>
      <x:c r="N50" s="20"/>
      <x:c r="O50" s="20"/>
      <x:c r="P50" s="20"/>
      <x:c r="Q50" s="20"/>
      <x:c r="R50" s="20"/>
      <x:c r="S50" s="20"/>
      <x:c r="T50" s="20"/>
      <x:c r="U50" s="20"/>
      <x:c r="V50" s="20"/>
      <x:c r="W50" s="20"/>
      <x:c r="X50" s="20"/>
      <x:c r="Y50" s="20"/>
      <x:c r="Z50" s="20"/>
    </x:row>
    <x:row r="51">
      <x:c r="A51" s="20"/>
      <x:c r="B51" s="20"/>
      <x:c r="C51" s="20"/>
      <x:c r="D51" s="20"/>
      <x:c r="E51" s="20"/>
      <x:c r="F51" s="20"/>
      <x:c r="G51" s="20"/>
      <x:c r="H51" s="20"/>
      <x:c r="I51" s="20"/>
      <x:c r="J51" s="20"/>
      <x:c r="K51" s="20"/>
      <x:c r="L51" s="20"/>
      <x:c r="M51" s="20"/>
      <x:c r="N51" s="20"/>
      <x:c r="O51" s="20"/>
      <x:c r="P51" s="20"/>
      <x:c r="Q51" s="20"/>
      <x:c r="R51" s="20"/>
      <x:c r="S51" s="20"/>
      <x:c r="T51" s="20"/>
      <x:c r="U51" s="20"/>
      <x:c r="V51" s="20"/>
      <x:c r="W51" s="20"/>
      <x:c r="X51" s="20"/>
      <x:c r="Y51" s="20"/>
      <x:c r="Z51" s="20"/>
    </x:row>
    <x:row r="52">
      <x:c r="A52" s="20"/>
      <x:c r="B52" s="20"/>
      <x:c r="C52" s="20"/>
      <x:c r="D52" s="20"/>
      <x:c r="E52" s="20"/>
      <x:c r="F52" s="20"/>
      <x:c r="G52" s="20"/>
      <x:c r="H52" s="20"/>
      <x:c r="I52" s="20"/>
      <x:c r="J52" s="20"/>
      <x:c r="K52" s="20"/>
      <x:c r="L52" s="20"/>
      <x:c r="M52" s="20"/>
      <x:c r="N52" s="20"/>
      <x:c r="O52" s="20"/>
      <x:c r="P52" s="20"/>
      <x:c r="Q52" s="20"/>
      <x:c r="R52" s="20"/>
      <x:c r="S52" s="20"/>
      <x:c r="T52" s="20"/>
      <x:c r="U52" s="20"/>
      <x:c r="V52" s="20"/>
      <x:c r="W52" s="20"/>
      <x:c r="X52" s="20"/>
      <x:c r="Y52" s="20"/>
      <x:c r="Z52" s="20"/>
    </x:row>
    <x:row r="53">
      <x:c r="A53" s="20"/>
      <x:c r="B53" s="20"/>
      <x:c r="C53" s="20"/>
      <x:c r="D53" s="20"/>
      <x:c r="E53" s="20"/>
      <x:c r="F53" s="20"/>
      <x:c r="G53" s="20"/>
      <x:c r="H53" s="20"/>
      <x:c r="I53" s="20"/>
      <x:c r="J53" s="20"/>
      <x:c r="K53" s="20"/>
      <x:c r="L53" s="20"/>
      <x:c r="M53" s="20"/>
      <x:c r="N53" s="20"/>
      <x:c r="O53" s="20"/>
      <x:c r="P53" s="20"/>
      <x:c r="Q53" s="20"/>
      <x:c r="R53" s="20"/>
      <x:c r="S53" s="20"/>
      <x:c r="T53" s="20"/>
      <x:c r="U53" s="20"/>
      <x:c r="V53" s="20"/>
      <x:c r="W53" s="20"/>
      <x:c r="X53" s="20"/>
      <x:c r="Y53" s="20"/>
      <x:c r="Z53" s="20"/>
    </x:row>
    <x:row r="54">
      <x:c r="A54" s="20"/>
      <x:c r="B54" s="20"/>
      <x:c r="C54" s="20"/>
      <x:c r="D54" s="20"/>
      <x:c r="E54" s="20"/>
      <x:c r="F54" s="20"/>
      <x:c r="G54" s="20"/>
      <x:c r="H54" s="20"/>
      <x:c r="I54" s="20"/>
      <x:c r="J54" s="20"/>
      <x:c r="K54" s="20"/>
      <x:c r="L54" s="20"/>
      <x:c r="M54" s="20"/>
      <x:c r="N54" s="20"/>
      <x:c r="O54" s="20"/>
      <x:c r="P54" s="20"/>
      <x:c r="Q54" s="20"/>
      <x:c r="R54" s="20"/>
      <x:c r="S54" s="20"/>
      <x:c r="T54" s="20"/>
      <x:c r="U54" s="20"/>
      <x:c r="V54" s="20"/>
      <x:c r="W54" s="20"/>
      <x:c r="X54" s="20"/>
      <x:c r="Y54" s="20"/>
      <x:c r="Z54" s="20"/>
    </x:row>
    <x:row r="55">
      <x:c r="A55" s="20"/>
      <x:c r="B55" s="20"/>
      <x:c r="C55" s="20"/>
      <x:c r="D55" s="20"/>
      <x:c r="E55" s="20"/>
      <x:c r="F55" s="20"/>
      <x:c r="G55" s="20"/>
      <x:c r="H55" s="20"/>
      <x:c r="I55" s="20"/>
      <x:c r="J55" s="20"/>
      <x:c r="K55" s="20"/>
      <x:c r="L55" s="20"/>
      <x:c r="M55" s="20"/>
      <x:c r="N55" s="20"/>
      <x:c r="O55" s="20"/>
      <x:c r="P55" s="20"/>
      <x:c r="Q55" s="20"/>
      <x:c r="R55" s="20"/>
      <x:c r="S55" s="20"/>
      <x:c r="T55" s="20"/>
      <x:c r="U55" s="20"/>
      <x:c r="V55" s="20"/>
      <x:c r="W55" s="20"/>
      <x:c r="X55" s="20"/>
      <x:c r="Y55" s="20"/>
      <x:c r="Z55" s="20"/>
    </x:row>
    <x:row r="56">
      <x:c r="A56" s="20"/>
      <x:c r="B56" s="20"/>
      <x:c r="C56" s="20"/>
      <x:c r="D56" s="20"/>
      <x:c r="E56" s="20"/>
      <x:c r="F56" s="20"/>
      <x:c r="G56" s="20"/>
      <x:c r="H56" s="20"/>
      <x:c r="I56" s="20"/>
      <x:c r="J56" s="20"/>
      <x:c r="K56" s="20"/>
      <x:c r="L56" s="20"/>
      <x:c r="M56" s="20"/>
      <x:c r="N56" s="20"/>
      <x:c r="O56" s="20"/>
      <x:c r="P56" s="20"/>
      <x:c r="Q56" s="20"/>
      <x:c r="R56" s="20"/>
      <x:c r="S56" s="20"/>
      <x:c r="T56" s="20"/>
      <x:c r="U56" s="20"/>
      <x:c r="V56" s="20"/>
      <x:c r="W56" s="20"/>
      <x:c r="X56" s="20"/>
      <x:c r="Y56" s="20"/>
      <x:c r="Z56" s="20"/>
    </x:row>
    <x:row r="57">
      <x:c r="A57" s="20"/>
      <x:c r="B57" s="20"/>
      <x:c r="C57" s="20"/>
      <x:c r="D57" s="20"/>
      <x:c r="E57" s="20"/>
      <x:c r="F57" s="20"/>
      <x:c r="G57" s="20"/>
      <x:c r="H57" s="20"/>
      <x:c r="I57" s="20"/>
      <x:c r="J57" s="20"/>
      <x:c r="K57" s="20"/>
      <x:c r="L57" s="20"/>
      <x:c r="M57" s="20"/>
      <x:c r="N57" s="20"/>
      <x:c r="O57" s="20"/>
      <x:c r="P57" s="20"/>
      <x:c r="Q57" s="20"/>
      <x:c r="R57" s="20"/>
      <x:c r="S57" s="20"/>
      <x:c r="T57" s="20"/>
      <x:c r="U57" s="20"/>
      <x:c r="V57" s="20"/>
      <x:c r="W57" s="20"/>
      <x:c r="X57" s="20"/>
      <x:c r="Y57" s="20"/>
      <x:c r="Z57" s="20"/>
    </x:row>
    <x:row r="58">
      <x:c r="A58" s="20"/>
      <x:c r="B58" s="20"/>
      <x:c r="C58" s="20"/>
      <x:c r="D58" s="20"/>
      <x:c r="E58" s="20"/>
      <x:c r="F58" s="20"/>
      <x:c r="G58" s="20"/>
      <x:c r="H58" s="20"/>
      <x:c r="I58" s="20"/>
      <x:c r="J58" s="20"/>
      <x:c r="K58" s="20"/>
      <x:c r="L58" s="20"/>
      <x:c r="M58" s="20"/>
      <x:c r="N58" s="20"/>
      <x:c r="O58" s="20"/>
      <x:c r="P58" s="20"/>
      <x:c r="Q58" s="20"/>
      <x:c r="R58" s="20"/>
      <x:c r="S58" s="20"/>
      <x:c r="T58" s="20"/>
      <x:c r="U58" s="20"/>
      <x:c r="V58" s="20"/>
      <x:c r="W58" s="20"/>
      <x:c r="X58" s="20"/>
      <x:c r="Y58" s="20"/>
      <x:c r="Z58" s="20"/>
    </x:row>
    <x:row r="59">
      <x:c r="A59" s="20"/>
      <x:c r="B59" s="20"/>
      <x:c r="C59" s="20"/>
      <x:c r="D59" s="20"/>
      <x:c r="E59" s="20"/>
      <x:c r="F59" s="20"/>
      <x:c r="G59" s="20"/>
      <x:c r="H59" s="20"/>
      <x:c r="I59" s="20"/>
      <x:c r="J59" s="20"/>
      <x:c r="K59" s="20"/>
      <x:c r="L59" s="20"/>
      <x:c r="M59" s="20"/>
      <x:c r="N59" s="20"/>
      <x:c r="O59" s="20"/>
      <x:c r="P59" s="20"/>
      <x:c r="Q59" s="20"/>
      <x:c r="R59" s="20"/>
      <x:c r="S59" s="20"/>
      <x:c r="T59" s="20"/>
      <x:c r="U59" s="20"/>
      <x:c r="V59" s="20"/>
      <x:c r="W59" s="20"/>
      <x:c r="X59" s="20"/>
      <x:c r="Y59" s="20"/>
      <x:c r="Z59" s="20"/>
    </x:row>
    <x:row r="60">
      <x:c r="A60" s="20"/>
      <x:c r="B60" s="20"/>
      <x:c r="C60" s="20"/>
      <x:c r="D60" s="20"/>
      <x:c r="E60" s="20"/>
      <x:c r="F60" s="20"/>
      <x:c r="G60" s="20"/>
      <x:c r="H60" s="20"/>
      <x:c r="I60" s="20"/>
      <x:c r="J60" s="20"/>
      <x:c r="K60" s="20"/>
      <x:c r="L60" s="20"/>
      <x:c r="M60" s="20"/>
      <x:c r="N60" s="20"/>
      <x:c r="O60" s="20"/>
      <x:c r="P60" s="20"/>
      <x:c r="Q60" s="20"/>
      <x:c r="R60" s="20"/>
      <x:c r="S60" s="20"/>
      <x:c r="T60" s="20"/>
      <x:c r="U60" s="20"/>
      <x:c r="V60" s="20"/>
      <x:c r="W60" s="20"/>
      <x:c r="X60" s="20"/>
      <x:c r="Y60" s="20"/>
      <x:c r="Z60" s="20"/>
    </x:row>
    <x:row r="61">
      <x:c r="A61" s="20"/>
      <x:c r="B61" s="20"/>
      <x:c r="C61" s="20"/>
      <x:c r="D61" s="20"/>
      <x:c r="E61" s="20"/>
      <x:c r="F61" s="20"/>
      <x:c r="G61" s="20"/>
      <x:c r="H61" s="20"/>
      <x:c r="I61" s="20"/>
      <x:c r="J61" s="20"/>
      <x:c r="K61" s="20"/>
      <x:c r="L61" s="20"/>
      <x:c r="M61" s="20"/>
      <x:c r="N61" s="20"/>
      <x:c r="O61" s="20"/>
      <x:c r="P61" s="20"/>
      <x:c r="Q61" s="20"/>
      <x:c r="R61" s="20"/>
      <x:c r="S61" s="20"/>
      <x:c r="T61" s="20"/>
      <x:c r="U61" s="20"/>
      <x:c r="V61" s="20"/>
      <x:c r="W61" s="20"/>
      <x:c r="X61" s="20"/>
      <x:c r="Y61" s="20"/>
      <x:c r="Z61" s="20"/>
    </x:row>
    <x:row r="62">
      <x:c r="A62" s="20"/>
      <x:c r="B62" s="20"/>
      <x:c r="C62" s="20"/>
      <x:c r="D62" s="20"/>
      <x:c r="E62" s="20"/>
      <x:c r="F62" s="20"/>
      <x:c r="G62" s="20"/>
      <x:c r="H62" s="20"/>
      <x:c r="I62" s="20"/>
      <x:c r="J62" s="20"/>
      <x:c r="K62" s="20"/>
      <x:c r="L62" s="20"/>
      <x:c r="M62" s="20"/>
      <x:c r="N62" s="20"/>
      <x:c r="O62" s="20"/>
      <x:c r="P62" s="20"/>
      <x:c r="Q62" s="20"/>
      <x:c r="R62" s="20"/>
      <x:c r="S62" s="20"/>
      <x:c r="T62" s="20"/>
      <x:c r="U62" s="20"/>
      <x:c r="V62" s="20"/>
      <x:c r="W62" s="20"/>
      <x:c r="X62" s="20"/>
      <x:c r="Y62" s="20"/>
      <x:c r="Z62" s="20"/>
    </x:row>
    <x:row r="63">
      <x:c r="A63" s="20"/>
      <x:c r="B63" s="20"/>
      <x:c r="C63" s="20"/>
      <x:c r="D63" s="20"/>
      <x:c r="E63" s="20"/>
      <x:c r="F63" s="20"/>
      <x:c r="G63" s="20"/>
      <x:c r="H63" s="20"/>
      <x:c r="I63" s="20"/>
      <x:c r="J63" s="20"/>
      <x:c r="K63" s="20"/>
      <x:c r="L63" s="20"/>
      <x:c r="M63" s="20"/>
      <x:c r="N63" s="20"/>
      <x:c r="O63" s="20"/>
      <x:c r="P63" s="20"/>
      <x:c r="Q63" s="20"/>
      <x:c r="R63" s="20"/>
      <x:c r="S63" s="20"/>
      <x:c r="T63" s="20"/>
      <x:c r="U63" s="20"/>
      <x:c r="V63" s="20"/>
      <x:c r="W63" s="20"/>
      <x:c r="X63" s="20"/>
      <x:c r="Y63" s="20"/>
      <x:c r="Z63" s="20"/>
    </x:row>
    <x:row r="64">
      <x:c r="A64" s="20"/>
      <x:c r="B64" s="20"/>
      <x:c r="C64" s="20"/>
      <x:c r="D64" s="20"/>
      <x:c r="E64" s="20"/>
      <x:c r="F64" s="20"/>
      <x:c r="G64" s="20"/>
      <x:c r="H64" s="20"/>
      <x:c r="I64" s="20"/>
      <x:c r="J64" s="20"/>
      <x:c r="K64" s="20"/>
      <x:c r="L64" s="20"/>
      <x:c r="M64" s="20"/>
      <x:c r="N64" s="20"/>
      <x:c r="O64" s="20"/>
      <x:c r="P64" s="20"/>
      <x:c r="Q64" s="20"/>
      <x:c r="R64" s="20"/>
      <x:c r="S64" s="20"/>
      <x:c r="T64" s="20"/>
      <x:c r="U64" s="20"/>
      <x:c r="V64" s="20"/>
      <x:c r="W64" s="20"/>
      <x:c r="X64" s="20"/>
      <x:c r="Y64" s="20"/>
      <x:c r="Z64" s="20"/>
    </x:row>
    <x:row r="65">
      <x:c r="A65" s="20"/>
      <x:c r="B65" s="20"/>
      <x:c r="C65" s="20"/>
      <x:c r="D65" s="20"/>
      <x:c r="E65" s="20"/>
      <x:c r="F65" s="20"/>
      <x:c r="G65" s="20"/>
      <x:c r="H65" s="20"/>
      <x:c r="I65" s="20"/>
      <x:c r="J65" s="20"/>
      <x:c r="K65" s="20"/>
      <x:c r="L65" s="20"/>
      <x:c r="M65" s="20"/>
      <x:c r="N65" s="20"/>
      <x:c r="O65" s="20"/>
      <x:c r="P65" s="20"/>
      <x:c r="Q65" s="20"/>
      <x:c r="R65" s="20"/>
      <x:c r="S65" s="20"/>
      <x:c r="T65" s="20"/>
      <x:c r="U65" s="20"/>
      <x:c r="V65" s="20"/>
      <x:c r="W65" s="20"/>
      <x:c r="X65" s="20"/>
      <x:c r="Y65" s="20"/>
      <x:c r="Z65" s="20"/>
    </x:row>
    <x:row r="66">
      <x:c r="A66" s="20"/>
      <x:c r="B66" s="20"/>
      <x:c r="C66" s="20"/>
      <x:c r="D66" s="20"/>
      <x:c r="E66" s="20"/>
      <x:c r="F66" s="20"/>
      <x:c r="G66" s="20"/>
      <x:c r="H66" s="20"/>
      <x:c r="I66" s="20"/>
      <x:c r="J66" s="20"/>
      <x:c r="K66" s="20"/>
      <x:c r="L66" s="20"/>
      <x:c r="M66" s="20"/>
      <x:c r="N66" s="20"/>
      <x:c r="O66" s="20"/>
      <x:c r="P66" s="20"/>
      <x:c r="Q66" s="20"/>
      <x:c r="R66" s="20"/>
      <x:c r="S66" s="20"/>
      <x:c r="T66" s="20"/>
      <x:c r="U66" s="20"/>
      <x:c r="V66" s="20"/>
      <x:c r="W66" s="20"/>
      <x:c r="X66" s="20"/>
      <x:c r="Y66" s="20"/>
      <x:c r="Z66" s="20"/>
    </x:row>
    <x:row r="67">
      <x:c r="A67" s="20"/>
      <x:c r="B67" s="20"/>
      <x:c r="C67" s="20"/>
      <x:c r="D67" s="20"/>
      <x:c r="E67" s="20"/>
      <x:c r="F67" s="20"/>
      <x:c r="G67" s="20"/>
      <x:c r="H67" s="20"/>
      <x:c r="I67" s="20"/>
      <x:c r="J67" s="20"/>
      <x:c r="K67" s="20"/>
      <x:c r="L67" s="20"/>
      <x:c r="M67" s="20"/>
      <x:c r="N67" s="20"/>
      <x:c r="O67" s="20"/>
      <x:c r="P67" s="20"/>
      <x:c r="Q67" s="20"/>
      <x:c r="R67" s="20"/>
      <x:c r="S67" s="20"/>
      <x:c r="T67" s="20"/>
      <x:c r="U67" s="20"/>
      <x:c r="V67" s="20"/>
      <x:c r="W67" s="20"/>
      <x:c r="X67" s="20"/>
      <x:c r="Y67" s="20"/>
      <x:c r="Z67" s="20"/>
    </x:row>
    <x:row r="68">
      <x:c r="A68" s="20"/>
      <x:c r="B68" s="20"/>
      <x:c r="C68" s="20"/>
      <x:c r="D68" s="20"/>
      <x:c r="E68" s="20"/>
      <x:c r="F68" s="20"/>
      <x:c r="G68" s="20"/>
      <x:c r="H68" s="20"/>
      <x:c r="I68" s="20"/>
      <x:c r="J68" s="20"/>
      <x:c r="K68" s="20"/>
      <x:c r="L68" s="20"/>
      <x:c r="M68" s="20"/>
      <x:c r="N68" s="20"/>
      <x:c r="O68" s="20"/>
      <x:c r="P68" s="20"/>
      <x:c r="Q68" s="20"/>
      <x:c r="R68" s="20"/>
      <x:c r="S68" s="20"/>
      <x:c r="T68" s="20"/>
      <x:c r="U68" s="20"/>
      <x:c r="V68" s="20"/>
      <x:c r="W68" s="20"/>
      <x:c r="X68" s="20"/>
      <x:c r="Y68" s="20"/>
      <x:c r="Z68" s="20"/>
    </x:row>
    <x:row r="69">
      <x:c r="A69" s="20"/>
      <x:c r="B69" s="20"/>
      <x:c r="C69" s="20"/>
      <x:c r="D69" s="20"/>
      <x:c r="E69" s="20"/>
      <x:c r="F69" s="20"/>
      <x:c r="G69" s="20"/>
      <x:c r="H69" s="20"/>
      <x:c r="I69" s="20"/>
      <x:c r="J69" s="20"/>
      <x:c r="K69" s="20"/>
      <x:c r="L69" s="20"/>
      <x:c r="M69" s="20"/>
      <x:c r="N69" s="20"/>
      <x:c r="O69" s="20"/>
      <x:c r="P69" s="20"/>
      <x:c r="Q69" s="20"/>
      <x:c r="R69" s="20"/>
      <x:c r="S69" s="20"/>
      <x:c r="T69" s="20"/>
      <x:c r="U69" s="20"/>
      <x:c r="V69" s="20"/>
      <x:c r="W69" s="20"/>
      <x:c r="X69" s="20"/>
      <x:c r="Y69" s="20"/>
      <x:c r="Z69" s="20"/>
    </x:row>
    <x:row r="70">
      <x:c r="A70" s="20"/>
      <x:c r="B70" s="20"/>
      <x:c r="C70" s="20"/>
      <x:c r="D70" s="20"/>
      <x:c r="E70" s="20"/>
      <x:c r="F70" s="20"/>
      <x:c r="G70" s="20"/>
      <x:c r="H70" s="20"/>
      <x:c r="I70" s="20"/>
      <x:c r="J70" s="20"/>
      <x:c r="K70" s="20"/>
      <x:c r="L70" s="20"/>
      <x:c r="M70" s="20"/>
      <x:c r="N70" s="20"/>
      <x:c r="O70" s="20"/>
      <x:c r="P70" s="20"/>
      <x:c r="Q70" s="20"/>
      <x:c r="R70" s="20"/>
      <x:c r="S70" s="20"/>
      <x:c r="T70" s="20"/>
      <x:c r="U70" s="20"/>
      <x:c r="V70" s="20"/>
      <x:c r="W70" s="20"/>
      <x:c r="X70" s="20"/>
      <x:c r="Y70" s="20"/>
      <x:c r="Z70" s="20"/>
    </x:row>
    <x:row r="71">
      <x:c r="A71" s="20"/>
      <x:c r="B71" s="20"/>
      <x:c r="C71" s="20"/>
      <x:c r="D71" s="20"/>
      <x:c r="E71" s="20"/>
      <x:c r="F71" s="20"/>
      <x:c r="G71" s="20"/>
      <x:c r="H71" s="20"/>
      <x:c r="I71" s="20"/>
      <x:c r="J71" s="20"/>
      <x:c r="K71" s="20"/>
      <x:c r="L71" s="20"/>
      <x:c r="M71" s="20"/>
      <x:c r="N71" s="20"/>
      <x:c r="O71" s="20"/>
      <x:c r="P71" s="20"/>
      <x:c r="Q71" s="20"/>
      <x:c r="R71" s="20"/>
      <x:c r="S71" s="20"/>
      <x:c r="T71" s="20"/>
      <x:c r="U71" s="20"/>
      <x:c r="V71" s="20"/>
      <x:c r="W71" s="20"/>
      <x:c r="X71" s="20"/>
      <x:c r="Y71" s="20"/>
      <x:c r="Z71" s="20"/>
    </x:row>
    <x:row r="72">
      <x:c r="A72" s="20"/>
      <x:c r="B72" s="20"/>
      <x:c r="C72" s="20"/>
      <x:c r="D72" s="20"/>
      <x:c r="E72" s="20"/>
      <x:c r="F72" s="20"/>
      <x:c r="G72" s="20"/>
      <x:c r="H72" s="20"/>
      <x:c r="I72" s="20"/>
      <x:c r="J72" s="20"/>
      <x:c r="K72" s="20"/>
      <x:c r="L72" s="20"/>
      <x:c r="M72" s="20"/>
      <x:c r="N72" s="20"/>
      <x:c r="O72" s="20"/>
      <x:c r="P72" s="20"/>
      <x:c r="Q72" s="20"/>
      <x:c r="R72" s="20"/>
      <x:c r="S72" s="20"/>
      <x:c r="T72" s="20"/>
      <x:c r="U72" s="20"/>
      <x:c r="V72" s="20"/>
      <x:c r="W72" s="20"/>
      <x:c r="X72" s="20"/>
      <x:c r="Y72" s="20"/>
      <x:c r="Z72" s="20"/>
    </x:row>
    <x:row r="73">
      <x:c r="A73" s="20"/>
      <x:c r="B73" s="20"/>
      <x:c r="C73" s="20"/>
      <x:c r="D73" s="20"/>
      <x:c r="E73" s="20"/>
      <x:c r="F73" s="20"/>
      <x:c r="G73" s="20"/>
      <x:c r="H73" s="20"/>
      <x:c r="I73" s="20"/>
      <x:c r="J73" s="20"/>
      <x:c r="K73" s="20"/>
      <x:c r="L73" s="20"/>
      <x:c r="M73" s="20"/>
      <x:c r="N73" s="20"/>
      <x:c r="O73" s="20"/>
      <x:c r="P73" s="20"/>
      <x:c r="Q73" s="20"/>
      <x:c r="R73" s="20"/>
      <x:c r="S73" s="20"/>
      <x:c r="T73" s="20"/>
      <x:c r="U73" s="20"/>
      <x:c r="V73" s="20"/>
      <x:c r="W73" s="20"/>
      <x:c r="X73" s="20"/>
      <x:c r="Y73" s="20"/>
      <x:c r="Z73" s="20"/>
    </x:row>
    <x:row r="74">
      <x:c r="A74" s="20"/>
      <x:c r="B74" s="20"/>
      <x:c r="C74" s="20"/>
      <x:c r="D74" s="20"/>
      <x:c r="E74" s="20"/>
      <x:c r="F74" s="20"/>
      <x:c r="G74" s="20"/>
      <x:c r="H74" s="20"/>
      <x:c r="I74" s="20"/>
      <x:c r="J74" s="20"/>
      <x:c r="K74" s="20"/>
      <x:c r="L74" s="20"/>
      <x:c r="M74" s="20"/>
      <x:c r="N74" s="20"/>
      <x:c r="O74" s="20"/>
      <x:c r="P74" s="20"/>
      <x:c r="Q74" s="20"/>
      <x:c r="R74" s="20"/>
      <x:c r="S74" s="20"/>
      <x:c r="T74" s="20"/>
      <x:c r="U74" s="20"/>
      <x:c r="V74" s="20"/>
      <x:c r="W74" s="20"/>
      <x:c r="X74" s="20"/>
      <x:c r="Y74" s="20"/>
      <x:c r="Z74" s="20"/>
    </x:row>
    <x:row r="75">
      <x:c r="A75" s="20"/>
      <x:c r="B75" s="20"/>
      <x:c r="C75" s="20"/>
      <x:c r="D75" s="20"/>
      <x:c r="E75" s="20"/>
      <x:c r="F75" s="20"/>
      <x:c r="G75" s="20"/>
      <x:c r="H75" s="20"/>
      <x:c r="I75" s="20"/>
      <x:c r="J75" s="20"/>
      <x:c r="K75" s="20"/>
      <x:c r="L75" s="20"/>
      <x:c r="M75" s="20"/>
      <x:c r="N75" s="20"/>
      <x:c r="O75" s="20"/>
      <x:c r="P75" s="20"/>
      <x:c r="Q75" s="20"/>
      <x:c r="R75" s="20"/>
      <x:c r="S75" s="20"/>
      <x:c r="T75" s="20"/>
      <x:c r="U75" s="20"/>
      <x:c r="V75" s="20"/>
      <x:c r="W75" s="20"/>
      <x:c r="X75" s="20"/>
      <x:c r="Y75" s="20"/>
      <x:c r="Z75" s="20"/>
    </x:row>
    <x:row r="76">
      <x:c r="A76" s="20"/>
      <x:c r="B76" s="20"/>
      <x:c r="C76" s="20"/>
      <x:c r="D76" s="20"/>
      <x:c r="E76" s="20"/>
      <x:c r="F76" s="20"/>
      <x:c r="G76" s="20"/>
      <x:c r="H76" s="20"/>
      <x:c r="I76" s="20"/>
      <x:c r="J76" s="20"/>
      <x:c r="K76" s="20"/>
      <x:c r="L76" s="20"/>
      <x:c r="M76" s="20"/>
      <x:c r="N76" s="20"/>
      <x:c r="O76" s="20"/>
      <x:c r="P76" s="20"/>
      <x:c r="Q76" s="20"/>
      <x:c r="R76" s="20"/>
      <x:c r="S76" s="20"/>
      <x:c r="T76" s="20"/>
      <x:c r="U76" s="20"/>
      <x:c r="V76" s="20"/>
      <x:c r="W76" s="20"/>
      <x:c r="X76" s="20"/>
      <x:c r="Y76" s="20"/>
      <x:c r="Z76" s="20"/>
    </x:row>
    <x:row r="77">
      <x:c r="A77" s="20"/>
      <x:c r="B77" s="20"/>
      <x:c r="C77" s="20"/>
      <x:c r="D77" s="20"/>
      <x:c r="E77" s="20"/>
      <x:c r="F77" s="20"/>
      <x:c r="G77" s="20"/>
      <x:c r="H77" s="20"/>
      <x:c r="I77" s="20"/>
      <x:c r="J77" s="20"/>
      <x:c r="K77" s="20"/>
      <x:c r="L77" s="20"/>
      <x:c r="M77" s="20"/>
      <x:c r="N77" s="20"/>
      <x:c r="O77" s="20"/>
      <x:c r="P77" s="20"/>
      <x:c r="Q77" s="20"/>
      <x:c r="R77" s="20"/>
      <x:c r="S77" s="20"/>
      <x:c r="T77" s="20"/>
      <x:c r="U77" s="20"/>
      <x:c r="V77" s="20"/>
      <x:c r="W77" s="20"/>
      <x:c r="X77" s="20"/>
      <x:c r="Y77" s="20"/>
      <x:c r="Z77" s="20"/>
    </x:row>
    <x:row r="78">
      <x:c r="A78" s="20"/>
      <x:c r="B78" s="20"/>
      <x:c r="C78" s="20"/>
      <x:c r="D78" s="20"/>
      <x:c r="E78" s="20"/>
      <x:c r="F78" s="20"/>
      <x:c r="G78" s="20"/>
      <x:c r="H78" s="20"/>
      <x:c r="I78" s="20"/>
      <x:c r="J78" s="20"/>
      <x:c r="K78" s="20"/>
      <x:c r="L78" s="20"/>
      <x:c r="M78" s="20"/>
      <x:c r="N78" s="20"/>
      <x:c r="O78" s="20"/>
      <x:c r="P78" s="20"/>
      <x:c r="Q78" s="20"/>
      <x:c r="R78" s="20"/>
      <x:c r="S78" s="20"/>
      <x:c r="T78" s="20"/>
      <x:c r="U78" s="20"/>
      <x:c r="V78" s="20"/>
      <x:c r="W78" s="20"/>
      <x:c r="X78" s="20"/>
      <x:c r="Y78" s="20"/>
      <x:c r="Z78" s="20"/>
    </x:row>
    <x:row r="79">
      <x:c r="A79" s="20"/>
      <x:c r="B79" s="20"/>
      <x:c r="C79" s="20"/>
      <x:c r="D79" s="20"/>
      <x:c r="E79" s="20"/>
      <x:c r="F79" s="20"/>
      <x:c r="G79" s="20"/>
      <x:c r="H79" s="20"/>
      <x:c r="I79" s="20"/>
      <x:c r="J79" s="20"/>
      <x:c r="K79" s="20"/>
      <x:c r="L79" s="20"/>
      <x:c r="M79" s="20"/>
      <x:c r="N79" s="20"/>
      <x:c r="O79" s="20"/>
      <x:c r="P79" s="20"/>
      <x:c r="Q79" s="20"/>
      <x:c r="R79" s="20"/>
      <x:c r="S79" s="20"/>
      <x:c r="T79" s="20"/>
      <x:c r="U79" s="20"/>
      <x:c r="V79" s="20"/>
      <x:c r="W79" s="20"/>
      <x:c r="X79" s="20"/>
      <x:c r="Y79" s="20"/>
      <x:c r="Z79" s="20"/>
    </x:row>
    <x:row r="80">
      <x:c r="A80" s="20"/>
      <x:c r="B80" s="20"/>
      <x:c r="C80" s="20"/>
      <x:c r="D80" s="20"/>
      <x:c r="E80" s="20"/>
      <x:c r="F80" s="20"/>
      <x:c r="G80" s="20"/>
      <x:c r="H80" s="20"/>
      <x:c r="I80" s="20"/>
      <x:c r="J80" s="20"/>
      <x:c r="K80" s="20"/>
      <x:c r="L80" s="20"/>
      <x:c r="M80" s="20"/>
      <x:c r="N80" s="20"/>
      <x:c r="O80" s="20"/>
      <x:c r="P80" s="20"/>
      <x:c r="Q80" s="20"/>
      <x:c r="R80" s="20"/>
      <x:c r="S80" s="20"/>
      <x:c r="T80" s="20"/>
      <x:c r="U80" s="20"/>
      <x:c r="V80" s="20"/>
      <x:c r="W80" s="20"/>
      <x:c r="X80" s="20"/>
      <x:c r="Y80" s="20"/>
      <x:c r="Z80" s="20"/>
    </x:row>
    <x:row r="81">
      <x:c r="A81" s="20"/>
      <x:c r="B81" s="20"/>
      <x:c r="C81" s="20"/>
      <x:c r="D81" s="20"/>
      <x:c r="E81" s="20"/>
      <x:c r="F81" s="20"/>
      <x:c r="G81" s="20"/>
      <x:c r="H81" s="20"/>
      <x:c r="I81" s="20"/>
      <x:c r="J81" s="20"/>
      <x:c r="K81" s="20"/>
      <x:c r="L81" s="20"/>
      <x:c r="M81" s="20"/>
      <x:c r="N81" s="20"/>
      <x:c r="O81" s="20"/>
      <x:c r="P81" s="20"/>
      <x:c r="Q81" s="20"/>
      <x:c r="R81" s="20"/>
      <x:c r="S81" s="20"/>
      <x:c r="T81" s="20"/>
      <x:c r="U81" s="20"/>
      <x:c r="V81" s="20"/>
      <x:c r="W81" s="20"/>
      <x:c r="X81" s="20"/>
      <x:c r="Y81" s="20"/>
      <x:c r="Z81" s="20"/>
    </x:row>
    <x:row r="82">
      <x:c r="A82" s="20"/>
      <x:c r="B82" s="20"/>
      <x:c r="C82" s="20"/>
      <x:c r="D82" s="20"/>
      <x:c r="E82" s="20"/>
      <x:c r="F82" s="20"/>
      <x:c r="G82" s="20"/>
      <x:c r="H82" s="20"/>
      <x:c r="I82" s="20"/>
      <x:c r="J82" s="20"/>
      <x:c r="K82" s="20"/>
      <x:c r="L82" s="20"/>
      <x:c r="M82" s="20"/>
      <x:c r="N82" s="20"/>
      <x:c r="O82" s="20"/>
      <x:c r="P82" s="20"/>
      <x:c r="Q82" s="20"/>
      <x:c r="R82" s="20"/>
      <x:c r="S82" s="20"/>
      <x:c r="T82" s="20"/>
      <x:c r="U82" s="20"/>
      <x:c r="V82" s="20"/>
      <x:c r="W82" s="20"/>
      <x:c r="X82" s="20"/>
      <x:c r="Y82" s="20"/>
      <x:c r="Z82" s="20"/>
    </x:row>
    <x:row r="83">
      <x:c r="A83" s="20"/>
      <x:c r="B83" s="20"/>
      <x:c r="C83" s="20"/>
      <x:c r="D83" s="20"/>
      <x:c r="E83" s="20"/>
      <x:c r="F83" s="20"/>
      <x:c r="G83" s="20"/>
      <x:c r="H83" s="20"/>
      <x:c r="I83" s="20"/>
      <x:c r="J83" s="20"/>
      <x:c r="K83" s="20"/>
      <x:c r="L83" s="20"/>
      <x:c r="M83" s="20"/>
      <x:c r="N83" s="20"/>
      <x:c r="O83" s="20"/>
      <x:c r="P83" s="20"/>
      <x:c r="Q83" s="20"/>
      <x:c r="R83" s="20"/>
      <x:c r="S83" s="20"/>
      <x:c r="T83" s="20"/>
      <x:c r="U83" s="20"/>
      <x:c r="V83" s="20"/>
      <x:c r="W83" s="20"/>
      <x:c r="X83" s="20"/>
      <x:c r="Y83" s="20"/>
      <x:c r="Z83" s="20"/>
    </x:row>
    <x:row r="84">
      <x:c r="A84" s="20"/>
      <x:c r="B84" s="20"/>
      <x:c r="C84" s="20"/>
      <x:c r="D84" s="20"/>
      <x:c r="E84" s="20"/>
      <x:c r="F84" s="20"/>
      <x:c r="G84" s="20"/>
      <x:c r="H84" s="20"/>
      <x:c r="I84" s="20"/>
      <x:c r="J84" s="20"/>
      <x:c r="K84" s="20"/>
      <x:c r="L84" s="20"/>
      <x:c r="M84" s="20"/>
      <x:c r="N84" s="20"/>
      <x:c r="O84" s="20"/>
      <x:c r="P84" s="20"/>
      <x:c r="Q84" s="20"/>
      <x:c r="R84" s="20"/>
      <x:c r="S84" s="20"/>
      <x:c r="T84" s="20"/>
      <x:c r="U84" s="20"/>
      <x:c r="V84" s="20"/>
      <x:c r="W84" s="20"/>
      <x:c r="X84" s="20"/>
      <x:c r="Y84" s="20"/>
      <x:c r="Z84" s="20"/>
    </x:row>
    <x:row r="85">
      <x:c r="A85" s="20"/>
      <x:c r="B85" s="20"/>
      <x:c r="C85" s="20"/>
      <x:c r="D85" s="20"/>
      <x:c r="E85" s="20"/>
      <x:c r="F85" s="20"/>
      <x:c r="G85" s="20"/>
      <x:c r="H85" s="20"/>
      <x:c r="I85" s="20"/>
      <x:c r="J85" s="20"/>
      <x:c r="K85" s="20"/>
      <x:c r="L85" s="20"/>
      <x:c r="M85" s="20"/>
      <x:c r="N85" s="20"/>
      <x:c r="O85" s="20"/>
      <x:c r="P85" s="20"/>
      <x:c r="Q85" s="20"/>
      <x:c r="R85" s="20"/>
      <x:c r="S85" s="20"/>
      <x:c r="T85" s="20"/>
      <x:c r="U85" s="20"/>
      <x:c r="V85" s="20"/>
      <x:c r="W85" s="20"/>
      <x:c r="X85" s="20"/>
      <x:c r="Y85" s="20"/>
      <x:c r="Z85" s="20"/>
    </x:row>
    <x:row r="86">
      <x:c r="A86" s="20"/>
      <x:c r="B86" s="20"/>
      <x:c r="C86" s="20"/>
      <x:c r="D86" s="20"/>
      <x:c r="E86" s="20"/>
      <x:c r="F86" s="20"/>
      <x:c r="G86" s="20"/>
      <x:c r="H86" s="20"/>
      <x:c r="I86" s="20"/>
      <x:c r="J86" s="20"/>
      <x:c r="K86" s="20"/>
      <x:c r="L86" s="20"/>
      <x:c r="M86" s="20"/>
      <x:c r="N86" s="20"/>
      <x:c r="O86" s="20"/>
      <x:c r="P86" s="20"/>
      <x:c r="Q86" s="20"/>
      <x:c r="R86" s="20"/>
      <x:c r="S86" s="20"/>
      <x:c r="T86" s="20"/>
      <x:c r="U86" s="20"/>
      <x:c r="V86" s="20"/>
      <x:c r="W86" s="20"/>
      <x:c r="X86" s="20"/>
      <x:c r="Y86" s="20"/>
      <x:c r="Z86" s="20"/>
    </x:row>
    <x:row r="87">
      <x:c r="A87" s="20"/>
      <x:c r="B87" s="20"/>
      <x:c r="C87" s="20"/>
      <x:c r="D87" s="20"/>
      <x:c r="E87" s="20"/>
      <x:c r="F87" s="20"/>
      <x:c r="G87" s="20"/>
      <x:c r="H87" s="20"/>
      <x:c r="I87" s="20"/>
      <x:c r="J87" s="20"/>
      <x:c r="K87" s="20"/>
      <x:c r="L87" s="20"/>
      <x:c r="M87" s="20"/>
      <x:c r="N87" s="20"/>
      <x:c r="O87" s="20"/>
      <x:c r="P87" s="20"/>
      <x:c r="Q87" s="20"/>
      <x:c r="R87" s="20"/>
      <x:c r="S87" s="20"/>
      <x:c r="T87" s="20"/>
      <x:c r="U87" s="20"/>
      <x:c r="V87" s="20"/>
      <x:c r="W87" s="20"/>
      <x:c r="X87" s="20"/>
      <x:c r="Y87" s="20"/>
      <x:c r="Z87" s="20"/>
    </x:row>
    <x:row r="88">
      <x:c r="A88" s="20"/>
      <x:c r="B88" s="20"/>
      <x:c r="C88" s="20"/>
      <x:c r="D88" s="20"/>
      <x:c r="E88" s="20"/>
      <x:c r="F88" s="20"/>
      <x:c r="G88" s="20"/>
      <x:c r="H88" s="20"/>
      <x:c r="I88" s="20"/>
      <x:c r="J88" s="20"/>
      <x:c r="K88" s="20"/>
      <x:c r="L88" s="20"/>
      <x:c r="M88" s="20"/>
      <x:c r="N88" s="20"/>
      <x:c r="O88" s="20"/>
      <x:c r="P88" s="20"/>
      <x:c r="Q88" s="20"/>
      <x:c r="R88" s="20"/>
      <x:c r="S88" s="20"/>
      <x:c r="T88" s="20"/>
      <x:c r="U88" s="20"/>
      <x:c r="V88" s="20"/>
      <x:c r="W88" s="20"/>
      <x:c r="X88" s="20"/>
      <x:c r="Y88" s="20"/>
      <x:c r="Z88" s="20"/>
    </x:row>
    <x:row r="89">
      <x:c r="A89" s="20"/>
      <x:c r="B89" s="20"/>
      <x:c r="C89" s="20"/>
      <x:c r="D89" s="20"/>
      <x:c r="E89" s="20"/>
      <x:c r="F89" s="20"/>
      <x:c r="G89" s="20"/>
      <x:c r="H89" s="20"/>
      <x:c r="I89" s="20"/>
      <x:c r="J89" s="20"/>
      <x:c r="K89" s="20"/>
      <x:c r="L89" s="20"/>
      <x:c r="M89" s="20"/>
      <x:c r="N89" s="20"/>
      <x:c r="O89" s="20"/>
      <x:c r="P89" s="20"/>
      <x:c r="Q89" s="20"/>
      <x:c r="R89" s="20"/>
      <x:c r="S89" s="20"/>
      <x:c r="T89" s="20"/>
      <x:c r="U89" s="20"/>
      <x:c r="V89" s="20"/>
      <x:c r="W89" s="20"/>
      <x:c r="X89" s="20"/>
      <x:c r="Y89" s="20"/>
      <x:c r="Z89" s="20"/>
    </x:row>
    <x:row r="90">
      <x:c r="A90" s="20"/>
      <x:c r="B90" s="20"/>
      <x:c r="C90" s="20"/>
      <x:c r="D90" s="20"/>
      <x:c r="E90" s="20"/>
      <x:c r="F90" s="20"/>
      <x:c r="G90" s="20"/>
      <x:c r="H90" s="20"/>
      <x:c r="I90" s="20"/>
      <x:c r="J90" s="20"/>
      <x:c r="K90" s="20"/>
      <x:c r="L90" s="20"/>
      <x:c r="M90" s="20"/>
      <x:c r="N90" s="20"/>
      <x:c r="O90" s="20"/>
      <x:c r="P90" s="20"/>
      <x:c r="Q90" s="20"/>
      <x:c r="R90" s="20"/>
      <x:c r="S90" s="20"/>
      <x:c r="T90" s="20"/>
      <x:c r="U90" s="20"/>
      <x:c r="V90" s="20"/>
      <x:c r="W90" s="20"/>
      <x:c r="X90" s="20"/>
      <x:c r="Y90" s="20"/>
      <x:c r="Z90" s="20"/>
    </x:row>
    <x:row r="91">
      <x:c r="A91" s="20"/>
      <x:c r="B91" s="20"/>
      <x:c r="C91" s="20"/>
      <x:c r="D91" s="20"/>
      <x:c r="E91" s="20"/>
      <x:c r="F91" s="20"/>
      <x:c r="G91" s="20"/>
      <x:c r="H91" s="20"/>
      <x:c r="I91" s="20"/>
      <x:c r="J91" s="20"/>
      <x:c r="K91" s="20"/>
      <x:c r="L91" s="20"/>
      <x:c r="M91" s="20"/>
      <x:c r="N91" s="20"/>
      <x:c r="O91" s="20"/>
      <x:c r="P91" s="20"/>
      <x:c r="Q91" s="20"/>
      <x:c r="R91" s="20"/>
      <x:c r="S91" s="20"/>
      <x:c r="T91" s="20"/>
      <x:c r="U91" s="20"/>
      <x:c r="V91" s="20"/>
      <x:c r="W91" s="20"/>
      <x:c r="X91" s="20"/>
      <x:c r="Y91" s="20"/>
      <x:c r="Z91" s="20"/>
    </x:row>
    <x:row r="92">
      <x:c r="A92" s="20"/>
      <x:c r="B92" s="20"/>
      <x:c r="C92" s="20"/>
      <x:c r="D92" s="20"/>
      <x:c r="E92" s="20"/>
      <x:c r="F92" s="20"/>
      <x:c r="G92" s="20"/>
      <x:c r="H92" s="20"/>
      <x:c r="I92" s="20"/>
      <x:c r="J92" s="20"/>
      <x:c r="K92" s="20"/>
      <x:c r="L92" s="20"/>
      <x:c r="M92" s="20"/>
      <x:c r="N92" s="20"/>
      <x:c r="O92" s="20"/>
      <x:c r="P92" s="20"/>
      <x:c r="Q92" s="20"/>
      <x:c r="R92" s="20"/>
      <x:c r="S92" s="20"/>
      <x:c r="T92" s="20"/>
      <x:c r="U92" s="20"/>
      <x:c r="V92" s="20"/>
      <x:c r="W92" s="20"/>
      <x:c r="X92" s="20"/>
      <x:c r="Y92" s="20"/>
      <x:c r="Z92" s="20"/>
    </x:row>
    <x:row r="93">
      <x:c r="A93" s="20"/>
      <x:c r="B93" s="20"/>
      <x:c r="C93" s="20"/>
      <x:c r="D93" s="20"/>
      <x:c r="E93" s="20"/>
      <x:c r="F93" s="20"/>
      <x:c r="G93" s="20"/>
      <x:c r="H93" s="20"/>
      <x:c r="I93" s="20"/>
      <x:c r="J93" s="20"/>
      <x:c r="K93" s="20"/>
      <x:c r="L93" s="20"/>
      <x:c r="M93" s="20"/>
      <x:c r="N93" s="20"/>
      <x:c r="O93" s="20"/>
      <x:c r="P93" s="20"/>
      <x:c r="Q93" s="20"/>
      <x:c r="R93" s="20"/>
      <x:c r="S93" s="20"/>
      <x:c r="T93" s="20"/>
      <x:c r="U93" s="20"/>
      <x:c r="V93" s="20"/>
      <x:c r="W93" s="20"/>
      <x:c r="X93" s="20"/>
      <x:c r="Y93" s="20"/>
      <x:c r="Z93" s="20"/>
    </x:row>
    <x:row r="94">
      <x:c r="A94" s="20"/>
      <x:c r="B94" s="20"/>
      <x:c r="C94" s="20"/>
      <x:c r="D94" s="20"/>
      <x:c r="E94" s="20"/>
      <x:c r="F94" s="20"/>
      <x:c r="G94" s="20"/>
      <x:c r="H94" s="20"/>
      <x:c r="I94" s="20"/>
      <x:c r="J94" s="20"/>
      <x:c r="K94" s="20"/>
      <x:c r="L94" s="20"/>
      <x:c r="M94" s="20"/>
      <x:c r="N94" s="20"/>
      <x:c r="O94" s="20"/>
      <x:c r="P94" s="20"/>
      <x:c r="Q94" s="20"/>
      <x:c r="R94" s="20"/>
      <x:c r="S94" s="20"/>
      <x:c r="T94" s="20"/>
      <x:c r="U94" s="20"/>
      <x:c r="V94" s="20"/>
      <x:c r="W94" s="20"/>
      <x:c r="X94" s="20"/>
      <x:c r="Y94" s="20"/>
      <x:c r="Z94" s="20"/>
    </x:row>
    <x:row r="95">
      <x:c r="A95" s="20"/>
      <x:c r="B95" s="20"/>
      <x:c r="C95" s="20"/>
      <x:c r="D95" s="20"/>
      <x:c r="E95" s="20"/>
      <x:c r="F95" s="20"/>
      <x:c r="G95" s="20"/>
      <x:c r="H95" s="20"/>
      <x:c r="I95" s="20"/>
      <x:c r="J95" s="20"/>
      <x:c r="K95" s="20"/>
      <x:c r="L95" s="20"/>
      <x:c r="M95" s="20"/>
      <x:c r="N95" s="20"/>
      <x:c r="O95" s="20"/>
      <x:c r="P95" s="20"/>
      <x:c r="Q95" s="20"/>
      <x:c r="R95" s="20"/>
      <x:c r="S95" s="20"/>
      <x:c r="T95" s="20"/>
      <x:c r="U95" s="20"/>
      <x:c r="V95" s="20"/>
      <x:c r="W95" s="20"/>
      <x:c r="X95" s="20"/>
      <x:c r="Y95" s="20"/>
      <x:c r="Z95" s="20"/>
    </x:row>
    <x:row r="96">
      <x:c r="A96" s="20"/>
      <x:c r="B96" s="20"/>
      <x:c r="C96" s="20"/>
      <x:c r="D96" s="20"/>
      <x:c r="E96" s="20"/>
      <x:c r="F96" s="20"/>
      <x:c r="G96" s="20"/>
      <x:c r="H96" s="20"/>
      <x:c r="I96" s="20"/>
      <x:c r="J96" s="20"/>
      <x:c r="K96" s="20"/>
      <x:c r="L96" s="20"/>
      <x:c r="M96" s="20"/>
      <x:c r="N96" s="20"/>
      <x:c r="O96" s="20"/>
      <x:c r="P96" s="20"/>
      <x:c r="Q96" s="20"/>
      <x:c r="R96" s="20"/>
      <x:c r="S96" s="20"/>
      <x:c r="T96" s="20"/>
      <x:c r="U96" s="20"/>
      <x:c r="V96" s="20"/>
      <x:c r="W96" s="20"/>
      <x:c r="X96" s="20"/>
      <x:c r="Y96" s="20"/>
      <x:c r="Z96" s="20"/>
    </x:row>
    <x:row r="97">
      <x:c r="A97" s="20"/>
      <x:c r="B97" s="20"/>
      <x:c r="C97" s="20"/>
      <x:c r="D97" s="20"/>
      <x:c r="E97" s="20"/>
      <x:c r="F97" s="20"/>
      <x:c r="G97" s="20"/>
      <x:c r="H97" s="20"/>
      <x:c r="I97" s="20"/>
      <x:c r="J97" s="20"/>
      <x:c r="K97" s="20"/>
      <x:c r="L97" s="20"/>
      <x:c r="M97" s="20"/>
      <x:c r="N97" s="20"/>
      <x:c r="O97" s="20"/>
      <x:c r="P97" s="20"/>
      <x:c r="Q97" s="20"/>
      <x:c r="R97" s="20"/>
      <x:c r="S97" s="20"/>
      <x:c r="T97" s="20"/>
      <x:c r="U97" s="20"/>
      <x:c r="V97" s="20"/>
      <x:c r="W97" s="20"/>
      <x:c r="X97" s="20"/>
      <x:c r="Y97" s="20"/>
      <x:c r="Z97" s="20"/>
    </x:row>
    <x:row r="98">
      <x:c r="A98" s="20"/>
      <x:c r="B98" s="20"/>
      <x:c r="C98" s="20"/>
      <x:c r="D98" s="20"/>
      <x:c r="E98" s="20"/>
      <x:c r="F98" s="20"/>
      <x:c r="G98" s="20"/>
      <x:c r="H98" s="20"/>
      <x:c r="I98" s="20"/>
      <x:c r="J98" s="20"/>
      <x:c r="K98" s="20"/>
      <x:c r="L98" s="20"/>
      <x:c r="M98" s="20"/>
      <x:c r="N98" s="20"/>
      <x:c r="O98" s="20"/>
      <x:c r="P98" s="20"/>
      <x:c r="Q98" s="20"/>
      <x:c r="R98" s="20"/>
      <x:c r="S98" s="20"/>
      <x:c r="T98" s="20"/>
      <x:c r="U98" s="20"/>
      <x:c r="V98" s="20"/>
      <x:c r="W98" s="20"/>
      <x:c r="X98" s="20"/>
      <x:c r="Y98" s="20"/>
      <x:c r="Z98" s="20"/>
    </x:row>
    <x:row r="99">
      <x:c r="A99" s="20"/>
      <x:c r="B99" s="20"/>
      <x:c r="C99" s="20"/>
      <x:c r="D99" s="20"/>
      <x:c r="E99" s="20"/>
      <x:c r="F99" s="20"/>
      <x:c r="G99" s="20"/>
      <x:c r="H99" s="20"/>
      <x:c r="I99" s="20"/>
      <x:c r="J99" s="20"/>
      <x:c r="K99" s="20"/>
      <x:c r="L99" s="20"/>
      <x:c r="M99" s="20"/>
      <x:c r="N99" s="20"/>
      <x:c r="O99" s="20"/>
      <x:c r="P99" s="20"/>
      <x:c r="Q99" s="20"/>
      <x:c r="R99" s="20"/>
      <x:c r="S99" s="20"/>
      <x:c r="T99" s="20"/>
      <x:c r="U99" s="20"/>
      <x:c r="V99" s="20"/>
      <x:c r="W99" s="20"/>
      <x:c r="X99" s="20"/>
      <x:c r="Y99" s="20"/>
      <x:c r="Z99" s="20"/>
    </x:row>
    <x:row r="100">
      <x:c r="A100" s="20"/>
      <x:c r="B100" s="20"/>
      <x:c r="C100" s="20"/>
      <x:c r="D100" s="20"/>
      <x:c r="E100" s="20"/>
      <x:c r="F100" s="20"/>
      <x:c r="G100" s="20"/>
      <x:c r="H100" s="20"/>
      <x:c r="I100" s="20"/>
      <x:c r="J100" s="20"/>
      <x:c r="K100" s="20"/>
      <x:c r="L100" s="20"/>
      <x:c r="M100" s="20"/>
      <x:c r="N100" s="20"/>
      <x:c r="O100" s="20"/>
      <x:c r="P100" s="20"/>
      <x:c r="Q100" s="20"/>
      <x:c r="R100" s="20"/>
      <x:c r="S100" s="20"/>
      <x:c r="T100" s="20"/>
      <x:c r="U100" s="20"/>
      <x:c r="V100" s="20"/>
      <x:c r="W100" s="20"/>
      <x:c r="X100" s="20"/>
      <x:c r="Y100" s="20"/>
      <x:c r="Z100" s="20"/>
    </x:row>
    <x:row r="101">
      <x:c r="A101" s="20"/>
      <x:c r="B101" s="20"/>
      <x:c r="C101" s="20"/>
      <x:c r="D101" s="20"/>
      <x:c r="E101" s="20"/>
      <x:c r="F101" s="20"/>
      <x:c r="G101" s="20"/>
      <x:c r="H101" s="20"/>
      <x:c r="I101" s="20"/>
      <x:c r="J101" s="20"/>
      <x:c r="K101" s="20"/>
      <x:c r="L101" s="20"/>
      <x:c r="M101" s="20"/>
      <x:c r="N101" s="20"/>
      <x:c r="O101" s="20"/>
      <x:c r="P101" s="20"/>
      <x:c r="Q101" s="20"/>
      <x:c r="R101" s="20"/>
      <x:c r="S101" s="20"/>
      <x:c r="T101" s="20"/>
      <x:c r="U101" s="20"/>
      <x:c r="V101" s="20"/>
      <x:c r="W101" s="20"/>
      <x:c r="X101" s="20"/>
      <x:c r="Y101" s="20"/>
      <x:c r="Z101" s="20"/>
    </x:row>
    <x:row r="102">
      <x:c r="A102" s="20"/>
      <x:c r="B102" s="20"/>
      <x:c r="C102" s="20"/>
      <x:c r="D102" s="20"/>
      <x:c r="E102" s="20"/>
      <x:c r="F102" s="20"/>
      <x:c r="G102" s="20"/>
      <x:c r="H102" s="20"/>
      <x:c r="I102" s="20"/>
      <x:c r="J102" s="20"/>
      <x:c r="K102" s="20"/>
      <x:c r="L102" s="20"/>
      <x:c r="M102" s="20"/>
      <x:c r="N102" s="20"/>
      <x:c r="O102" s="20"/>
      <x:c r="P102" s="20"/>
      <x:c r="Q102" s="20"/>
      <x:c r="R102" s="20"/>
      <x:c r="S102" s="20"/>
      <x:c r="T102" s="20"/>
      <x:c r="U102" s="20"/>
      <x:c r="V102" s="20"/>
      <x:c r="W102" s="20"/>
      <x:c r="X102" s="20"/>
      <x:c r="Y102" s="20"/>
      <x:c r="Z102" s="20"/>
    </x:row>
    <x:row r="103">
      <x:c r="A103" s="20"/>
      <x:c r="B103" s="20"/>
      <x:c r="C103" s="20"/>
      <x:c r="D103" s="20"/>
      <x:c r="E103" s="20"/>
      <x:c r="F103" s="20"/>
      <x:c r="G103" s="20"/>
      <x:c r="H103" s="20"/>
      <x:c r="I103" s="20"/>
      <x:c r="J103" s="20"/>
      <x:c r="K103" s="20"/>
      <x:c r="L103" s="20"/>
      <x:c r="M103" s="20"/>
      <x:c r="N103" s="20"/>
      <x:c r="O103" s="20"/>
      <x:c r="P103" s="20"/>
      <x:c r="Q103" s="20"/>
      <x:c r="R103" s="20"/>
      <x:c r="S103" s="20"/>
      <x:c r="T103" s="20"/>
      <x:c r="U103" s="20"/>
      <x:c r="V103" s="20"/>
      <x:c r="W103" s="20"/>
      <x:c r="X103" s="20"/>
      <x:c r="Y103" s="20"/>
      <x:c r="Z103" s="20"/>
    </x:row>
    <x:row r="104">
      <x:c r="A104" s="20"/>
      <x:c r="B104" s="20"/>
      <x:c r="C104" s="20"/>
      <x:c r="D104" s="20"/>
      <x:c r="E104" s="20"/>
      <x:c r="F104" s="20"/>
      <x:c r="G104" s="20"/>
      <x:c r="H104" s="20"/>
      <x:c r="I104" s="20"/>
      <x:c r="J104" s="20"/>
      <x:c r="K104" s="20"/>
      <x:c r="L104" s="20"/>
      <x:c r="M104" s="20"/>
      <x:c r="N104" s="20"/>
      <x:c r="O104" s="20"/>
      <x:c r="P104" s="20"/>
      <x:c r="Q104" s="20"/>
      <x:c r="R104" s="20"/>
      <x:c r="S104" s="20"/>
      <x:c r="T104" s="20"/>
      <x:c r="U104" s="20"/>
      <x:c r="V104" s="20"/>
      <x:c r="W104" s="20"/>
      <x:c r="X104" s="20"/>
      <x:c r="Y104" s="20"/>
      <x:c r="Z104" s="20"/>
    </x:row>
    <x:row r="105">
      <x:c r="A105" s="20"/>
      <x:c r="B105" s="20"/>
      <x:c r="C105" s="20"/>
      <x:c r="D105" s="20"/>
      <x:c r="E105" s="20"/>
      <x:c r="F105" s="20"/>
      <x:c r="G105" s="20"/>
      <x:c r="H105" s="20"/>
      <x:c r="I105" s="20"/>
      <x:c r="J105" s="20"/>
      <x:c r="K105" s="20"/>
      <x:c r="L105" s="20"/>
      <x:c r="M105" s="20"/>
      <x:c r="N105" s="20"/>
      <x:c r="O105" s="20"/>
      <x:c r="P105" s="20"/>
      <x:c r="Q105" s="20"/>
      <x:c r="R105" s="20"/>
      <x:c r="S105" s="20"/>
      <x:c r="T105" s="20"/>
      <x:c r="U105" s="20"/>
      <x:c r="V105" s="20"/>
      <x:c r="W105" s="20"/>
      <x:c r="X105" s="20"/>
      <x:c r="Y105" s="20"/>
      <x:c r="Z105" s="20"/>
    </x:row>
    <x:row r="106">
      <x:c r="A106" s="20"/>
      <x:c r="B106" s="20"/>
      <x:c r="C106" s="20"/>
      <x:c r="D106" s="20"/>
      <x:c r="E106" s="20"/>
      <x:c r="F106" s="20"/>
      <x:c r="G106" s="20"/>
      <x:c r="H106" s="20"/>
      <x:c r="I106" s="20"/>
      <x:c r="J106" s="20"/>
      <x:c r="K106" s="20"/>
      <x:c r="L106" s="20"/>
      <x:c r="M106" s="20"/>
      <x:c r="N106" s="20"/>
      <x:c r="O106" s="20"/>
      <x:c r="P106" s="20"/>
      <x:c r="Q106" s="20"/>
      <x:c r="R106" s="20"/>
      <x:c r="S106" s="20"/>
      <x:c r="T106" s="20"/>
      <x:c r="U106" s="20"/>
      <x:c r="V106" s="20"/>
      <x:c r="W106" s="20"/>
      <x:c r="X106" s="20"/>
      <x:c r="Y106" s="20"/>
      <x:c r="Z106" s="20"/>
    </x:row>
    <x:row r="107">
      <x:c r="A107" s="20"/>
      <x:c r="B107" s="20"/>
      <x:c r="C107" s="20"/>
      <x:c r="D107" s="20"/>
      <x:c r="E107" s="20"/>
      <x:c r="F107" s="20"/>
      <x:c r="G107" s="20"/>
      <x:c r="H107" s="20"/>
      <x:c r="I107" s="20"/>
      <x:c r="J107" s="20"/>
      <x:c r="K107" s="20"/>
      <x:c r="L107" s="20"/>
      <x:c r="M107" s="20"/>
      <x:c r="N107" s="20"/>
      <x:c r="O107" s="20"/>
      <x:c r="P107" s="20"/>
      <x:c r="Q107" s="20"/>
      <x:c r="R107" s="20"/>
      <x:c r="S107" s="20"/>
      <x:c r="T107" s="20"/>
      <x:c r="U107" s="20"/>
      <x:c r="V107" s="20"/>
      <x:c r="W107" s="20"/>
      <x:c r="X107" s="20"/>
      <x:c r="Y107" s="20"/>
      <x:c r="Z107" s="20"/>
    </x:row>
    <x:row r="108">
      <x:c r="A108" s="20"/>
      <x:c r="B108" s="20"/>
      <x:c r="C108" s="20"/>
      <x:c r="D108" s="20"/>
      <x:c r="E108" s="20"/>
      <x:c r="F108" s="20"/>
      <x:c r="G108" s="20"/>
      <x:c r="H108" s="20"/>
      <x:c r="I108" s="20"/>
      <x:c r="J108" s="20"/>
      <x:c r="K108" s="20"/>
      <x:c r="L108" s="20"/>
      <x:c r="M108" s="20"/>
      <x:c r="N108" s="20"/>
      <x:c r="O108" s="20"/>
      <x:c r="P108" s="20"/>
      <x:c r="Q108" s="20"/>
      <x:c r="R108" s="20"/>
      <x:c r="S108" s="20"/>
      <x:c r="T108" s="20"/>
      <x:c r="U108" s="20"/>
      <x:c r="V108" s="20"/>
      <x:c r="W108" s="20"/>
      <x:c r="X108" s="20"/>
      <x:c r="Y108" s="20"/>
      <x:c r="Z108" s="20"/>
    </x:row>
    <x:row r="109">
      <x:c r="A109" s="20"/>
      <x:c r="B109" s="20"/>
      <x:c r="C109" s="20"/>
      <x:c r="D109" s="20"/>
      <x:c r="E109" s="20"/>
      <x:c r="F109" s="20"/>
      <x:c r="G109" s="20"/>
      <x:c r="H109" s="20"/>
      <x:c r="I109" s="20"/>
      <x:c r="J109" s="20"/>
      <x:c r="K109" s="20"/>
      <x:c r="L109" s="20"/>
      <x:c r="M109" s="20"/>
      <x:c r="N109" s="20"/>
      <x:c r="O109" s="20"/>
      <x:c r="P109" s="20"/>
      <x:c r="Q109" s="20"/>
      <x:c r="R109" s="20"/>
      <x:c r="S109" s="20"/>
      <x:c r="T109" s="20"/>
      <x:c r="U109" s="20"/>
      <x:c r="V109" s="20"/>
      <x:c r="W109" s="20"/>
      <x:c r="X109" s="20"/>
      <x:c r="Y109" s="20"/>
      <x:c r="Z109" s="20"/>
    </x:row>
    <x:row r="110">
      <x:c r="A110" s="20"/>
      <x:c r="B110" s="20"/>
      <x:c r="C110" s="20"/>
      <x:c r="D110" s="20"/>
      <x:c r="E110" s="20"/>
      <x:c r="F110" s="20"/>
      <x:c r="G110" s="20"/>
      <x:c r="H110" s="20"/>
      <x:c r="I110" s="20"/>
      <x:c r="J110" s="20"/>
      <x:c r="K110" s="20"/>
      <x:c r="L110" s="20"/>
      <x:c r="M110" s="20"/>
      <x:c r="N110" s="20"/>
      <x:c r="O110" s="20"/>
      <x:c r="P110" s="20"/>
      <x:c r="Q110" s="20"/>
      <x:c r="R110" s="20"/>
      <x:c r="S110" s="20"/>
      <x:c r="T110" s="20"/>
      <x:c r="U110" s="20"/>
      <x:c r="V110" s="20"/>
      <x:c r="W110" s="20"/>
      <x:c r="X110" s="20"/>
      <x:c r="Y110" s="20"/>
      <x:c r="Z110" s="20"/>
    </x:row>
    <x:row r="111">
      <x:c r="A111" s="20"/>
      <x:c r="B111" s="20"/>
      <x:c r="C111" s="20"/>
      <x:c r="D111" s="20"/>
      <x:c r="E111" s="20"/>
      <x:c r="F111" s="20"/>
      <x:c r="G111" s="20"/>
      <x:c r="H111" s="20"/>
      <x:c r="I111" s="20"/>
      <x:c r="J111" s="20"/>
      <x:c r="K111" s="20"/>
      <x:c r="L111" s="20"/>
      <x:c r="M111" s="20"/>
      <x:c r="N111" s="20"/>
      <x:c r="O111" s="20"/>
      <x:c r="P111" s="20"/>
      <x:c r="Q111" s="20"/>
      <x:c r="R111" s="20"/>
      <x:c r="S111" s="20"/>
      <x:c r="T111" s="20"/>
      <x:c r="U111" s="20"/>
      <x:c r="V111" s="20"/>
      <x:c r="W111" s="20"/>
      <x:c r="X111" s="20"/>
      <x:c r="Y111" s="20"/>
      <x:c r="Z111" s="20"/>
    </x:row>
    <x:row r="112">
      <x:c r="A112" s="20"/>
      <x:c r="B112" s="20"/>
      <x:c r="C112" s="20"/>
      <x:c r="D112" s="20"/>
      <x:c r="E112" s="20"/>
      <x:c r="F112" s="20"/>
      <x:c r="G112" s="20"/>
      <x:c r="H112" s="20"/>
      <x:c r="I112" s="20"/>
      <x:c r="J112" s="20"/>
      <x:c r="K112" s="20"/>
      <x:c r="L112" s="20"/>
      <x:c r="M112" s="20"/>
      <x:c r="N112" s="20"/>
      <x:c r="O112" s="20"/>
      <x:c r="P112" s="20"/>
      <x:c r="Q112" s="20"/>
      <x:c r="R112" s="20"/>
      <x:c r="S112" s="20"/>
      <x:c r="T112" s="20"/>
      <x:c r="U112" s="20"/>
      <x:c r="V112" s="20"/>
      <x:c r="W112" s="20"/>
      <x:c r="X112" s="20"/>
      <x:c r="Y112" s="20"/>
      <x:c r="Z112" s="20"/>
    </x:row>
    <x:row r="113">
      <x:c r="A113" s="20"/>
      <x:c r="B113" s="20"/>
      <x:c r="C113" s="20"/>
      <x:c r="D113" s="20"/>
      <x:c r="E113" s="20"/>
      <x:c r="F113" s="20"/>
      <x:c r="G113" s="20"/>
      <x:c r="H113" s="20"/>
      <x:c r="I113" s="20"/>
      <x:c r="J113" s="20"/>
      <x:c r="K113" s="20"/>
      <x:c r="L113" s="20"/>
      <x:c r="M113" s="20"/>
      <x:c r="N113" s="20"/>
      <x:c r="O113" s="20"/>
      <x:c r="P113" s="20"/>
      <x:c r="Q113" s="20"/>
      <x:c r="R113" s="20"/>
      <x:c r="S113" s="20"/>
      <x:c r="T113" s="20"/>
      <x:c r="U113" s="20"/>
      <x:c r="V113" s="20"/>
      <x:c r="W113" s="20"/>
      <x:c r="X113" s="20"/>
      <x:c r="Y113" s="20"/>
      <x:c r="Z113" s="20"/>
    </x:row>
    <x:row r="114">
      <x:c r="A114" s="20"/>
      <x:c r="B114" s="20"/>
      <x:c r="C114" s="20"/>
      <x:c r="D114" s="20"/>
      <x:c r="E114" s="20"/>
      <x:c r="F114" s="20"/>
      <x:c r="G114" s="20"/>
      <x:c r="H114" s="20"/>
      <x:c r="I114" s="20"/>
      <x:c r="J114" s="20"/>
      <x:c r="K114" s="20"/>
      <x:c r="L114" s="20"/>
      <x:c r="M114" s="20"/>
      <x:c r="N114" s="20"/>
      <x:c r="O114" s="20"/>
      <x:c r="P114" s="20"/>
      <x:c r="Q114" s="20"/>
      <x:c r="R114" s="20"/>
      <x:c r="S114" s="20"/>
      <x:c r="T114" s="20"/>
      <x:c r="U114" s="20"/>
      <x:c r="V114" s="20"/>
      <x:c r="W114" s="20"/>
      <x:c r="X114" s="20"/>
      <x:c r="Y114" s="20"/>
      <x:c r="Z114" s="20"/>
    </x:row>
    <x:row r="115">
      <x:c r="A115" s="20"/>
      <x:c r="B115" s="20"/>
      <x:c r="C115" s="20"/>
      <x:c r="D115" s="20"/>
      <x:c r="E115" s="20"/>
      <x:c r="F115" s="20"/>
      <x:c r="G115" s="20"/>
      <x:c r="H115" s="20"/>
      <x:c r="I115" s="20"/>
      <x:c r="J115" s="20"/>
      <x:c r="K115" s="20"/>
      <x:c r="L115" s="20"/>
      <x:c r="M115" s="20"/>
      <x:c r="N115" s="20"/>
      <x:c r="O115" s="20"/>
      <x:c r="P115" s="20"/>
      <x:c r="Q115" s="20"/>
      <x:c r="R115" s="20"/>
      <x:c r="S115" s="20"/>
      <x:c r="T115" s="20"/>
      <x:c r="U115" s="20"/>
      <x:c r="V115" s="20"/>
      <x:c r="W115" s="20"/>
      <x:c r="X115" s="20"/>
      <x:c r="Y115" s="20"/>
      <x:c r="Z115" s="20"/>
    </x:row>
    <x:row r="116">
      <x:c r="A116" s="20"/>
      <x:c r="B116" s="20"/>
      <x:c r="C116" s="20"/>
      <x:c r="D116" s="20"/>
      <x:c r="E116" s="20"/>
      <x:c r="F116" s="20"/>
      <x:c r="G116" s="20"/>
      <x:c r="H116" s="20"/>
      <x:c r="I116" s="20"/>
      <x:c r="J116" s="20"/>
      <x:c r="K116" s="20"/>
      <x:c r="L116" s="20"/>
      <x:c r="M116" s="20"/>
      <x:c r="N116" s="20"/>
      <x:c r="O116" s="20"/>
      <x:c r="P116" s="20"/>
      <x:c r="Q116" s="20"/>
      <x:c r="R116" s="20"/>
      <x:c r="S116" s="20"/>
      <x:c r="T116" s="20"/>
      <x:c r="U116" s="20"/>
      <x:c r="V116" s="20"/>
      <x:c r="W116" s="20"/>
      <x:c r="X116" s="20"/>
      <x:c r="Y116" s="20"/>
      <x:c r="Z116" s="20"/>
    </x:row>
    <x:row r="117">
      <x:c r="A117" s="20"/>
      <x:c r="B117" s="20"/>
      <x:c r="C117" s="20"/>
      <x:c r="D117" s="20"/>
      <x:c r="E117" s="20"/>
      <x:c r="F117" s="20"/>
      <x:c r="G117" s="20"/>
      <x:c r="H117" s="20"/>
      <x:c r="I117" s="20"/>
      <x:c r="J117" s="20"/>
      <x:c r="K117" s="20"/>
      <x:c r="L117" s="20"/>
      <x:c r="M117" s="20"/>
      <x:c r="N117" s="20"/>
      <x:c r="O117" s="20"/>
      <x:c r="P117" s="20"/>
      <x:c r="Q117" s="20"/>
      <x:c r="R117" s="20"/>
      <x:c r="S117" s="20"/>
      <x:c r="T117" s="20"/>
      <x:c r="U117" s="20"/>
      <x:c r="V117" s="20"/>
      <x:c r="W117" s="20"/>
      <x:c r="X117" s="20"/>
      <x:c r="Y117" s="20"/>
      <x:c r="Z117" s="20"/>
    </x:row>
    <x:row r="118">
      <x:c r="A118" s="20"/>
      <x:c r="B118" s="20"/>
      <x:c r="C118" s="20"/>
      <x:c r="D118" s="20"/>
      <x:c r="E118" s="20"/>
      <x:c r="F118" s="20"/>
      <x:c r="G118" s="20"/>
      <x:c r="H118" s="20"/>
      <x:c r="I118" s="20"/>
      <x:c r="J118" s="20"/>
      <x:c r="K118" s="20"/>
      <x:c r="L118" s="20"/>
      <x:c r="M118" s="20"/>
      <x:c r="N118" s="20"/>
      <x:c r="O118" s="20"/>
      <x:c r="P118" s="20"/>
      <x:c r="Q118" s="20"/>
      <x:c r="R118" s="20"/>
      <x:c r="S118" s="20"/>
      <x:c r="T118" s="20"/>
      <x:c r="U118" s="20"/>
      <x:c r="V118" s="20"/>
      <x:c r="W118" s="20"/>
      <x:c r="X118" s="20"/>
      <x:c r="Y118" s="20"/>
      <x:c r="Z118" s="20"/>
    </x:row>
    <x:row r="119">
      <x:c r="A119" s="20"/>
      <x:c r="B119" s="20"/>
      <x:c r="C119" s="20"/>
      <x:c r="D119" s="20"/>
      <x:c r="E119" s="20"/>
      <x:c r="F119" s="20"/>
      <x:c r="G119" s="20"/>
      <x:c r="H119" s="20"/>
      <x:c r="I119" s="20"/>
      <x:c r="J119" s="20"/>
      <x:c r="K119" s="20"/>
      <x:c r="L119" s="20"/>
      <x:c r="M119" s="20"/>
      <x:c r="N119" s="20"/>
      <x:c r="O119" s="20"/>
      <x:c r="P119" s="20"/>
      <x:c r="Q119" s="20"/>
      <x:c r="R119" s="20"/>
      <x:c r="S119" s="20"/>
      <x:c r="T119" s="20"/>
      <x:c r="U119" s="20"/>
      <x:c r="V119" s="20"/>
      <x:c r="W119" s="20"/>
      <x:c r="X119" s="20"/>
      <x:c r="Y119" s="20"/>
      <x:c r="Z119" s="20"/>
    </x:row>
    <x:row r="120">
      <x:c r="A120" s="20"/>
      <x:c r="B120" s="20"/>
      <x:c r="C120" s="20"/>
      <x:c r="D120" s="20"/>
      <x:c r="E120" s="20"/>
      <x:c r="F120" s="20"/>
      <x:c r="G120" s="20"/>
      <x:c r="H120" s="20"/>
      <x:c r="I120" s="20"/>
      <x:c r="J120" s="20"/>
      <x:c r="K120" s="20"/>
      <x:c r="L120" s="20"/>
      <x:c r="M120" s="20"/>
      <x:c r="N120" s="20"/>
      <x:c r="O120" s="20"/>
      <x:c r="P120" s="20"/>
      <x:c r="Q120" s="20"/>
      <x:c r="R120" s="20"/>
      <x:c r="S120" s="20"/>
      <x:c r="T120" s="20"/>
      <x:c r="U120" s="20"/>
      <x:c r="V120" s="20"/>
      <x:c r="W120" s="20"/>
      <x:c r="X120" s="20"/>
      <x:c r="Y120" s="20"/>
      <x:c r="Z120" s="20"/>
    </x:row>
    <x:row r="121">
      <x:c r="A121" s="20"/>
      <x:c r="B121" s="20"/>
      <x:c r="C121" s="20"/>
      <x:c r="D121" s="20"/>
      <x:c r="E121" s="20"/>
      <x:c r="F121" s="20"/>
      <x:c r="G121" s="20"/>
      <x:c r="H121" s="20"/>
      <x:c r="I121" s="20"/>
      <x:c r="J121" s="20"/>
      <x:c r="K121" s="20"/>
      <x:c r="L121" s="20"/>
      <x:c r="M121" s="20"/>
      <x:c r="N121" s="20"/>
      <x:c r="O121" s="20"/>
      <x:c r="P121" s="20"/>
      <x:c r="Q121" s="20"/>
      <x:c r="R121" s="20"/>
      <x:c r="S121" s="20"/>
      <x:c r="T121" s="20"/>
      <x:c r="U121" s="20"/>
      <x:c r="V121" s="20"/>
      <x:c r="W121" s="20"/>
      <x:c r="X121" s="20"/>
      <x:c r="Y121" s="20"/>
      <x:c r="Z121" s="20"/>
    </x:row>
    <x:row r="122">
      <x:c r="A122" s="20"/>
      <x:c r="B122" s="20"/>
      <x:c r="C122" s="20"/>
      <x:c r="D122" s="20"/>
      <x:c r="E122" s="20"/>
      <x:c r="F122" s="20"/>
      <x:c r="G122" s="20"/>
      <x:c r="H122" s="20"/>
      <x:c r="I122" s="20"/>
      <x:c r="J122" s="20"/>
      <x:c r="K122" s="20"/>
      <x:c r="L122" s="20"/>
      <x:c r="M122" s="20"/>
      <x:c r="N122" s="20"/>
      <x:c r="O122" s="20"/>
      <x:c r="P122" s="20"/>
      <x:c r="Q122" s="20"/>
      <x:c r="R122" s="20"/>
      <x:c r="S122" s="20"/>
      <x:c r="T122" s="20"/>
      <x:c r="U122" s="20"/>
      <x:c r="V122" s="20"/>
      <x:c r="W122" s="20"/>
      <x:c r="X122" s="20"/>
      <x:c r="Y122" s="20"/>
      <x:c r="Z122" s="20"/>
    </x:row>
    <x:row r="123">
      <x:c r="A123" s="20"/>
      <x:c r="B123" s="20"/>
      <x:c r="C123" s="20"/>
      <x:c r="D123" s="20"/>
      <x:c r="E123" s="20"/>
      <x:c r="F123" s="20"/>
      <x:c r="G123" s="20"/>
      <x:c r="H123" s="20"/>
      <x:c r="I123" s="20"/>
      <x:c r="J123" s="20"/>
      <x:c r="K123" s="20"/>
      <x:c r="L123" s="20"/>
      <x:c r="M123" s="20"/>
      <x:c r="N123" s="20"/>
      <x:c r="O123" s="20"/>
      <x:c r="P123" s="20"/>
      <x:c r="Q123" s="20"/>
      <x:c r="R123" s="20"/>
      <x:c r="S123" s="20"/>
      <x:c r="T123" s="20"/>
      <x:c r="U123" s="20"/>
      <x:c r="V123" s="20"/>
      <x:c r="W123" s="20"/>
      <x:c r="X123" s="20"/>
      <x:c r="Y123" s="20"/>
      <x:c r="Z123" s="20"/>
    </x:row>
    <x:row r="124">
      <x:c r="A124" s="20"/>
      <x:c r="B124" s="20"/>
      <x:c r="C124" s="20"/>
      <x:c r="D124" s="20"/>
      <x:c r="E124" s="20"/>
      <x:c r="F124" s="20"/>
      <x:c r="G124" s="20"/>
      <x:c r="H124" s="20"/>
      <x:c r="I124" s="20"/>
      <x:c r="J124" s="20"/>
      <x:c r="K124" s="20"/>
      <x:c r="L124" s="20"/>
      <x:c r="M124" s="20"/>
      <x:c r="N124" s="20"/>
      <x:c r="O124" s="20"/>
      <x:c r="P124" s="20"/>
      <x:c r="Q124" s="20"/>
      <x:c r="R124" s="20"/>
      <x:c r="S124" s="20"/>
      <x:c r="T124" s="20"/>
      <x:c r="U124" s="20"/>
      <x:c r="V124" s="20"/>
      <x:c r="W124" s="20"/>
      <x:c r="X124" s="20"/>
      <x:c r="Y124" s="20"/>
      <x:c r="Z124" s="20"/>
    </x:row>
    <x:row r="125">
      <x:c r="A125" s="20"/>
      <x:c r="B125" s="20"/>
      <x:c r="C125" s="20"/>
      <x:c r="D125" s="20"/>
      <x:c r="E125" s="20"/>
      <x:c r="F125" s="20"/>
      <x:c r="G125" s="20"/>
      <x:c r="H125" s="20"/>
      <x:c r="I125" s="20"/>
      <x:c r="J125" s="20"/>
      <x:c r="K125" s="20"/>
      <x:c r="L125" s="20"/>
      <x:c r="M125" s="20"/>
      <x:c r="N125" s="20"/>
      <x:c r="O125" s="20"/>
      <x:c r="P125" s="20"/>
      <x:c r="Q125" s="20"/>
      <x:c r="R125" s="20"/>
      <x:c r="S125" s="20"/>
      <x:c r="T125" s="20"/>
      <x:c r="U125" s="20"/>
      <x:c r="V125" s="20"/>
      <x:c r="W125" s="20"/>
      <x:c r="X125" s="20"/>
      <x:c r="Y125" s="20"/>
      <x:c r="Z125" s="20"/>
    </x:row>
    <x:row r="126">
      <x:c r="A126" s="20"/>
      <x:c r="B126" s="20"/>
      <x:c r="C126" s="20"/>
      <x:c r="D126" s="20"/>
      <x:c r="E126" s="20"/>
      <x:c r="F126" s="20"/>
      <x:c r="G126" s="20"/>
      <x:c r="H126" s="20"/>
      <x:c r="I126" s="20"/>
      <x:c r="J126" s="20"/>
      <x:c r="K126" s="20"/>
      <x:c r="L126" s="20"/>
      <x:c r="M126" s="20"/>
      <x:c r="N126" s="20"/>
      <x:c r="O126" s="20"/>
      <x:c r="P126" s="20"/>
      <x:c r="Q126" s="20"/>
      <x:c r="R126" s="20"/>
      <x:c r="S126" s="20"/>
      <x:c r="T126" s="20"/>
      <x:c r="U126" s="20"/>
      <x:c r="V126" s="20"/>
      <x:c r="W126" s="20"/>
      <x:c r="X126" s="20"/>
      <x:c r="Y126" s="20"/>
      <x:c r="Z126" s="20"/>
    </x:row>
    <x:row r="127">
      <x:c r="A127" s="20"/>
      <x:c r="B127" s="20"/>
      <x:c r="C127" s="20"/>
      <x:c r="D127" s="20"/>
      <x:c r="E127" s="20"/>
      <x:c r="F127" s="20"/>
      <x:c r="G127" s="20"/>
      <x:c r="H127" s="20"/>
      <x:c r="I127" s="20"/>
      <x:c r="J127" s="20"/>
      <x:c r="K127" s="20"/>
      <x:c r="L127" s="20"/>
      <x:c r="M127" s="20"/>
      <x:c r="N127" s="20"/>
      <x:c r="O127" s="20"/>
      <x:c r="P127" s="20"/>
      <x:c r="Q127" s="20"/>
      <x:c r="R127" s="20"/>
      <x:c r="S127" s="20"/>
      <x:c r="T127" s="20"/>
      <x:c r="U127" s="20"/>
      <x:c r="V127" s="20"/>
      <x:c r="W127" s="20"/>
      <x:c r="X127" s="20"/>
      <x:c r="Y127" s="20"/>
      <x:c r="Z127" s="20"/>
    </x:row>
    <x:row r="128">
      <x:c r="A128" s="20"/>
      <x:c r="B128" s="20"/>
      <x:c r="C128" s="20"/>
      <x:c r="D128" s="20"/>
      <x:c r="E128" s="20"/>
      <x:c r="F128" s="20"/>
      <x:c r="G128" s="20"/>
      <x:c r="H128" s="20"/>
      <x:c r="I128" s="20"/>
      <x:c r="J128" s="20"/>
      <x:c r="K128" s="20"/>
      <x:c r="L128" s="20"/>
      <x:c r="M128" s="20"/>
      <x:c r="N128" s="20"/>
      <x:c r="O128" s="20"/>
      <x:c r="P128" s="20"/>
      <x:c r="Q128" s="20"/>
      <x:c r="R128" s="20"/>
      <x:c r="S128" s="20"/>
      <x:c r="T128" s="20"/>
      <x:c r="U128" s="20"/>
      <x:c r="V128" s="20"/>
      <x:c r="W128" s="20"/>
      <x:c r="X128" s="20"/>
      <x:c r="Y128" s="20"/>
      <x:c r="Z128" s="20"/>
    </x:row>
    <x:row r="129">
      <x:c r="A129" s="20"/>
      <x:c r="B129" s="20"/>
      <x:c r="C129" s="20"/>
      <x:c r="D129" s="20"/>
      <x:c r="E129" s="20"/>
      <x:c r="F129" s="20"/>
      <x:c r="G129" s="20"/>
      <x:c r="H129" s="20"/>
      <x:c r="I129" s="20"/>
      <x:c r="J129" s="20"/>
      <x:c r="K129" s="20"/>
      <x:c r="L129" s="20"/>
      <x:c r="M129" s="20"/>
      <x:c r="N129" s="20"/>
      <x:c r="O129" s="20"/>
      <x:c r="P129" s="20"/>
      <x:c r="Q129" s="20"/>
      <x:c r="R129" s="20"/>
      <x:c r="S129" s="20"/>
      <x:c r="T129" s="20"/>
      <x:c r="U129" s="20"/>
      <x:c r="V129" s="20"/>
      <x:c r="W129" s="20"/>
      <x:c r="X129" s="20"/>
      <x:c r="Y129" s="20"/>
      <x:c r="Z129" s="20"/>
    </x:row>
    <x:row r="130">
      <x:c r="A130" s="20"/>
      <x:c r="B130" s="20"/>
      <x:c r="C130" s="20"/>
      <x:c r="D130" s="20"/>
      <x:c r="E130" s="20"/>
      <x:c r="F130" s="20"/>
      <x:c r="G130" s="20"/>
      <x:c r="H130" s="20"/>
      <x:c r="I130" s="20"/>
      <x:c r="J130" s="20"/>
      <x:c r="K130" s="20"/>
      <x:c r="L130" s="20"/>
      <x:c r="M130" s="20"/>
      <x:c r="N130" s="20"/>
      <x:c r="O130" s="20"/>
      <x:c r="P130" s="20"/>
      <x:c r="Q130" s="20"/>
      <x:c r="R130" s="20"/>
      <x:c r="S130" s="20"/>
      <x:c r="T130" s="20"/>
      <x:c r="U130" s="20"/>
      <x:c r="V130" s="20"/>
      <x:c r="W130" s="20"/>
      <x:c r="X130" s="20"/>
      <x:c r="Y130" s="20"/>
      <x:c r="Z130" s="20"/>
    </x:row>
    <x:row r="131">
      <x:c r="A131" s="20"/>
      <x:c r="B131" s="20"/>
      <x:c r="C131" s="20"/>
      <x:c r="D131" s="20"/>
      <x:c r="E131" s="20"/>
      <x:c r="F131" s="20"/>
      <x:c r="G131" s="20"/>
      <x:c r="H131" s="20"/>
      <x:c r="I131" s="20"/>
      <x:c r="J131" s="20"/>
      <x:c r="K131" s="20"/>
      <x:c r="L131" s="20"/>
      <x:c r="M131" s="20"/>
      <x:c r="N131" s="20"/>
      <x:c r="O131" s="20"/>
      <x:c r="P131" s="20"/>
      <x:c r="Q131" s="20"/>
      <x:c r="R131" s="20"/>
      <x:c r="S131" s="20"/>
      <x:c r="T131" s="20"/>
      <x:c r="U131" s="20"/>
      <x:c r="V131" s="20"/>
      <x:c r="W131" s="20"/>
      <x:c r="X131" s="20"/>
      <x:c r="Y131" s="20"/>
      <x:c r="Z131" s="20"/>
    </x:row>
    <x:row r="132">
      <x:c r="A132" s="20"/>
      <x:c r="B132" s="20"/>
      <x:c r="C132" s="20"/>
      <x:c r="D132" s="20"/>
      <x:c r="E132" s="20"/>
      <x:c r="F132" s="20"/>
      <x:c r="G132" s="20"/>
      <x:c r="H132" s="20"/>
      <x:c r="I132" s="20"/>
      <x:c r="J132" s="20"/>
      <x:c r="K132" s="20"/>
      <x:c r="L132" s="20"/>
      <x:c r="M132" s="20"/>
      <x:c r="N132" s="20"/>
      <x:c r="O132" s="20"/>
      <x:c r="P132" s="20"/>
      <x:c r="Q132" s="20"/>
      <x:c r="R132" s="20"/>
      <x:c r="S132" s="20"/>
      <x:c r="T132" s="20"/>
      <x:c r="U132" s="20"/>
      <x:c r="V132" s="20"/>
      <x:c r="W132" s="20"/>
      <x:c r="X132" s="20"/>
      <x:c r="Y132" s="20"/>
      <x:c r="Z132" s="20"/>
    </x:row>
    <x:row r="133">
      <x:c r="A133" s="20"/>
      <x:c r="B133" s="20"/>
      <x:c r="C133" s="20"/>
      <x:c r="D133" s="20"/>
      <x:c r="E133" s="20"/>
      <x:c r="F133" s="20"/>
      <x:c r="G133" s="20"/>
      <x:c r="H133" s="20"/>
      <x:c r="I133" s="20"/>
      <x:c r="J133" s="20"/>
      <x:c r="K133" s="20"/>
      <x:c r="L133" s="20"/>
      <x:c r="M133" s="20"/>
      <x:c r="N133" s="20"/>
      <x:c r="O133" s="20"/>
      <x:c r="P133" s="20"/>
      <x:c r="Q133" s="20"/>
      <x:c r="R133" s="20"/>
      <x:c r="S133" s="20"/>
      <x:c r="T133" s="20"/>
      <x:c r="U133" s="20"/>
      <x:c r="V133" s="20"/>
      <x:c r="W133" s="20"/>
      <x:c r="X133" s="20"/>
      <x:c r="Y133" s="20"/>
      <x:c r="Z133" s="20"/>
    </x:row>
    <x:row r="134">
      <x:c r="A134" s="20"/>
      <x:c r="B134" s="20"/>
      <x:c r="C134" s="20"/>
      <x:c r="D134" s="20"/>
      <x:c r="E134" s="20"/>
      <x:c r="F134" s="20"/>
      <x:c r="G134" s="20"/>
      <x:c r="H134" s="20"/>
      <x:c r="I134" s="20"/>
      <x:c r="J134" s="20"/>
      <x:c r="K134" s="20"/>
      <x:c r="L134" s="20"/>
      <x:c r="M134" s="20"/>
      <x:c r="N134" s="20"/>
      <x:c r="O134" s="20"/>
      <x:c r="P134" s="20"/>
      <x:c r="Q134" s="20"/>
      <x:c r="R134" s="20"/>
      <x:c r="S134" s="20"/>
      <x:c r="T134" s="20"/>
      <x:c r="U134" s="20"/>
      <x:c r="V134" s="20"/>
      <x:c r="W134" s="20"/>
      <x:c r="X134" s="20"/>
      <x:c r="Y134" s="20"/>
      <x:c r="Z134" s="20"/>
    </x:row>
    <x:row r="135">
      <x:c r="A135" s="20"/>
      <x:c r="B135" s="20"/>
      <x:c r="C135" s="20"/>
      <x:c r="D135" s="20"/>
      <x:c r="E135" s="20"/>
      <x:c r="F135" s="20"/>
      <x:c r="G135" s="20"/>
      <x:c r="H135" s="20"/>
      <x:c r="I135" s="20"/>
      <x:c r="J135" s="20"/>
      <x:c r="K135" s="20"/>
      <x:c r="L135" s="20"/>
      <x:c r="M135" s="20"/>
      <x:c r="N135" s="20"/>
      <x:c r="O135" s="20"/>
      <x:c r="P135" s="20"/>
      <x:c r="Q135" s="20"/>
      <x:c r="R135" s="20"/>
      <x:c r="S135" s="20"/>
      <x:c r="T135" s="20"/>
      <x:c r="U135" s="20"/>
      <x:c r="V135" s="20"/>
      <x:c r="W135" s="20"/>
      <x:c r="X135" s="20"/>
      <x:c r="Y135" s="20"/>
      <x:c r="Z135" s="20"/>
    </x:row>
    <x:row r="136">
      <x:c r="A136" s="20"/>
      <x:c r="B136" s="20"/>
      <x:c r="C136" s="20"/>
      <x:c r="D136" s="20"/>
      <x:c r="E136" s="20"/>
      <x:c r="F136" s="20"/>
      <x:c r="G136" s="20"/>
      <x:c r="H136" s="20"/>
      <x:c r="I136" s="20"/>
      <x:c r="J136" s="20"/>
      <x:c r="K136" s="20"/>
      <x:c r="L136" s="20"/>
      <x:c r="M136" s="20"/>
      <x:c r="N136" s="20"/>
      <x:c r="O136" s="20"/>
      <x:c r="P136" s="20"/>
      <x:c r="Q136" s="20"/>
      <x:c r="R136" s="20"/>
      <x:c r="S136" s="20"/>
      <x:c r="T136" s="20"/>
      <x:c r="U136" s="20"/>
      <x:c r="V136" s="20"/>
      <x:c r="W136" s="20"/>
      <x:c r="X136" s="20"/>
      <x:c r="Y136" s="20"/>
      <x:c r="Z136" s="20"/>
    </x:row>
    <x:row r="137">
      <x:c r="A137" s="20"/>
      <x:c r="B137" s="20"/>
      <x:c r="C137" s="20"/>
      <x:c r="D137" s="20"/>
      <x:c r="E137" s="20"/>
      <x:c r="F137" s="20"/>
      <x:c r="G137" s="20"/>
      <x:c r="H137" s="20"/>
      <x:c r="I137" s="20"/>
      <x:c r="J137" s="20"/>
      <x:c r="K137" s="20"/>
      <x:c r="L137" s="20"/>
      <x:c r="M137" s="20"/>
      <x:c r="N137" s="20"/>
      <x:c r="O137" s="20"/>
      <x:c r="P137" s="20"/>
      <x:c r="Q137" s="20"/>
      <x:c r="R137" s="20"/>
      <x:c r="S137" s="20"/>
      <x:c r="T137" s="20"/>
      <x:c r="U137" s="20"/>
      <x:c r="V137" s="20"/>
      <x:c r="W137" s="20"/>
      <x:c r="X137" s="20"/>
      <x:c r="Y137" s="20"/>
      <x:c r="Z137" s="20"/>
    </x:row>
    <x:row r="138">
      <x:c r="A138" s="20"/>
      <x:c r="B138" s="20"/>
      <x:c r="C138" s="20"/>
      <x:c r="D138" s="20"/>
      <x:c r="E138" s="20"/>
      <x:c r="F138" s="20"/>
      <x:c r="G138" s="20"/>
      <x:c r="H138" s="20"/>
      <x:c r="I138" s="20"/>
      <x:c r="J138" s="20"/>
      <x:c r="K138" s="20"/>
      <x:c r="L138" s="20"/>
      <x:c r="M138" s="20"/>
      <x:c r="N138" s="20"/>
      <x:c r="O138" s="20"/>
      <x:c r="P138" s="20"/>
      <x:c r="Q138" s="20"/>
      <x:c r="R138" s="20"/>
      <x:c r="S138" s="20"/>
      <x:c r="T138" s="20"/>
      <x:c r="U138" s="20"/>
      <x:c r="V138" s="20"/>
      <x:c r="W138" s="20"/>
      <x:c r="X138" s="20"/>
      <x:c r="Y138" s="20"/>
      <x:c r="Z138" s="20"/>
    </x:row>
    <x:row r="139">
      <x:c r="A139" s="20"/>
      <x:c r="B139" s="20"/>
      <x:c r="C139" s="20"/>
      <x:c r="D139" s="20"/>
      <x:c r="E139" s="20"/>
      <x:c r="F139" s="20"/>
      <x:c r="G139" s="20"/>
      <x:c r="H139" s="20"/>
      <x:c r="I139" s="20"/>
      <x:c r="J139" s="20"/>
      <x:c r="K139" s="20"/>
      <x:c r="L139" s="20"/>
      <x:c r="M139" s="20"/>
      <x:c r="N139" s="20"/>
      <x:c r="O139" s="20"/>
      <x:c r="P139" s="20"/>
      <x:c r="Q139" s="20"/>
      <x:c r="R139" s="20"/>
      <x:c r="S139" s="20"/>
      <x:c r="T139" s="20"/>
      <x:c r="U139" s="20"/>
      <x:c r="V139" s="20"/>
      <x:c r="W139" s="20"/>
      <x:c r="X139" s="20"/>
      <x:c r="Y139" s="20"/>
      <x:c r="Z139" s="20"/>
    </x:row>
    <x:row r="140">
      <x:c r="A140" s="20"/>
      <x:c r="B140" s="20"/>
      <x:c r="C140" s="20"/>
      <x:c r="D140" s="20"/>
      <x:c r="E140" s="20"/>
      <x:c r="F140" s="20"/>
      <x:c r="G140" s="20"/>
      <x:c r="H140" s="20"/>
      <x:c r="I140" s="20"/>
      <x:c r="J140" s="20"/>
      <x:c r="K140" s="20"/>
      <x:c r="L140" s="20"/>
      <x:c r="M140" s="20"/>
      <x:c r="N140" s="20"/>
      <x:c r="O140" s="20"/>
      <x:c r="P140" s="20"/>
      <x:c r="Q140" s="20"/>
      <x:c r="R140" s="20"/>
      <x:c r="S140" s="20"/>
      <x:c r="T140" s="20"/>
      <x:c r="U140" s="20"/>
      <x:c r="V140" s="20"/>
      <x:c r="W140" s="20"/>
      <x:c r="X140" s="20"/>
      <x:c r="Y140" s="20"/>
      <x:c r="Z140" s="20"/>
    </x:row>
    <x:row r="141">
      <x:c r="A141" s="20"/>
      <x:c r="B141" s="20"/>
      <x:c r="C141" s="20"/>
      <x:c r="D141" s="20"/>
      <x:c r="E141" s="20"/>
      <x:c r="F141" s="20"/>
      <x:c r="G141" s="20"/>
      <x:c r="H141" s="20"/>
      <x:c r="I141" s="20"/>
      <x:c r="J141" s="20"/>
      <x:c r="K141" s="20"/>
      <x:c r="L141" s="20"/>
      <x:c r="M141" s="20"/>
      <x:c r="N141" s="20"/>
      <x:c r="O141" s="20"/>
      <x:c r="P141" s="20"/>
      <x:c r="Q141" s="20"/>
      <x:c r="R141" s="20"/>
      <x:c r="S141" s="20"/>
      <x:c r="T141" s="20"/>
      <x:c r="U141" s="20"/>
      <x:c r="V141" s="20"/>
      <x:c r="W141" s="20"/>
      <x:c r="X141" s="20"/>
      <x:c r="Y141" s="20"/>
      <x:c r="Z141" s="20"/>
    </x:row>
    <x:row r="142">
      <x:c r="A142" s="20"/>
      <x:c r="B142" s="20"/>
      <x:c r="C142" s="20"/>
      <x:c r="D142" s="20"/>
      <x:c r="E142" s="20"/>
      <x:c r="F142" s="20"/>
      <x:c r="G142" s="20"/>
      <x:c r="H142" s="20"/>
      <x:c r="I142" s="20"/>
      <x:c r="J142" s="20"/>
      <x:c r="K142" s="20"/>
      <x:c r="L142" s="20"/>
      <x:c r="M142" s="20"/>
      <x:c r="N142" s="20"/>
      <x:c r="O142" s="20"/>
      <x:c r="P142" s="20"/>
      <x:c r="Q142" s="20"/>
      <x:c r="R142" s="20"/>
      <x:c r="S142" s="20"/>
      <x:c r="T142" s="20"/>
      <x:c r="U142" s="20"/>
      <x:c r="V142" s="20"/>
      <x:c r="W142" s="20"/>
      <x:c r="X142" s="20"/>
      <x:c r="Y142" s="20"/>
      <x:c r="Z142" s="20"/>
    </x:row>
    <x:row r="143">
      <x:c r="A143" s="20"/>
      <x:c r="B143" s="20"/>
      <x:c r="C143" s="20"/>
      <x:c r="D143" s="20"/>
      <x:c r="E143" s="20"/>
      <x:c r="F143" s="20"/>
      <x:c r="G143" s="20"/>
      <x:c r="H143" s="20"/>
      <x:c r="I143" s="20"/>
      <x:c r="J143" s="20"/>
      <x:c r="K143" s="20"/>
      <x:c r="L143" s="20"/>
      <x:c r="M143" s="20"/>
      <x:c r="N143" s="20"/>
      <x:c r="O143" s="20"/>
      <x:c r="P143" s="20"/>
      <x:c r="Q143" s="20"/>
      <x:c r="R143" s="20"/>
      <x:c r="S143" s="20"/>
      <x:c r="T143" s="20"/>
      <x:c r="U143" s="20"/>
      <x:c r="V143" s="20"/>
      <x:c r="W143" s="20"/>
      <x:c r="X143" s="20"/>
      <x:c r="Y143" s="20"/>
      <x:c r="Z143" s="20"/>
    </x:row>
    <x:row r="144">
      <x:c r="A144" s="20"/>
      <x:c r="B144" s="20"/>
      <x:c r="C144" s="20"/>
      <x:c r="D144" s="20"/>
      <x:c r="E144" s="20"/>
      <x:c r="F144" s="20"/>
      <x:c r="G144" s="20"/>
      <x:c r="H144" s="20"/>
      <x:c r="I144" s="20"/>
      <x:c r="J144" s="20"/>
      <x:c r="K144" s="20"/>
      <x:c r="L144" s="20"/>
      <x:c r="M144" s="20"/>
      <x:c r="N144" s="20"/>
      <x:c r="O144" s="20"/>
      <x:c r="P144" s="20"/>
      <x:c r="Q144" s="20"/>
      <x:c r="R144" s="20"/>
      <x:c r="S144" s="20"/>
      <x:c r="T144" s="20"/>
      <x:c r="U144" s="20"/>
      <x:c r="V144" s="20"/>
      <x:c r="W144" s="20"/>
      <x:c r="X144" s="20"/>
      <x:c r="Y144" s="20"/>
      <x:c r="Z144" s="20"/>
    </x:row>
    <x:row r="145">
      <x:c r="A145" s="20"/>
      <x:c r="B145" s="20"/>
      <x:c r="C145" s="20"/>
      <x:c r="D145" s="20"/>
      <x:c r="E145" s="20"/>
      <x:c r="F145" s="20"/>
      <x:c r="G145" s="20"/>
      <x:c r="H145" s="20"/>
      <x:c r="I145" s="20"/>
      <x:c r="J145" s="20"/>
      <x:c r="K145" s="20"/>
      <x:c r="L145" s="20"/>
      <x:c r="M145" s="20"/>
      <x:c r="N145" s="20"/>
      <x:c r="O145" s="20"/>
      <x:c r="P145" s="20"/>
      <x:c r="Q145" s="20"/>
      <x:c r="R145" s="20"/>
      <x:c r="S145" s="20"/>
      <x:c r="T145" s="20"/>
      <x:c r="U145" s="20"/>
      <x:c r="V145" s="20"/>
      <x:c r="W145" s="20"/>
      <x:c r="X145" s="20"/>
      <x:c r="Y145" s="20"/>
      <x:c r="Z145" s="20"/>
    </x:row>
    <x:row r="146">
      <x:c r="A146" s="20"/>
      <x:c r="B146" s="20"/>
      <x:c r="C146" s="20"/>
      <x:c r="D146" s="20"/>
      <x:c r="E146" s="20"/>
      <x:c r="F146" s="20"/>
      <x:c r="G146" s="20"/>
      <x:c r="H146" s="20"/>
      <x:c r="I146" s="20"/>
      <x:c r="J146" s="20"/>
      <x:c r="K146" s="20"/>
      <x:c r="L146" s="20"/>
      <x:c r="M146" s="20"/>
      <x:c r="N146" s="20"/>
      <x:c r="O146" s="20"/>
      <x:c r="P146" s="20"/>
      <x:c r="Q146" s="20"/>
      <x:c r="R146" s="20"/>
      <x:c r="S146" s="20"/>
      <x:c r="T146" s="20"/>
      <x:c r="U146" s="20"/>
      <x:c r="V146" s="20"/>
      <x:c r="W146" s="20"/>
      <x:c r="X146" s="20"/>
      <x:c r="Y146" s="20"/>
      <x:c r="Z146" s="20"/>
    </x:row>
    <x:row r="147">
      <x:c r="A147" s="20"/>
      <x:c r="B147" s="20"/>
      <x:c r="C147" s="20"/>
      <x:c r="D147" s="20"/>
      <x:c r="E147" s="20"/>
      <x:c r="F147" s="20"/>
      <x:c r="G147" s="20"/>
      <x:c r="H147" s="20"/>
      <x:c r="I147" s="20"/>
      <x:c r="J147" s="20"/>
      <x:c r="K147" s="20"/>
      <x:c r="L147" s="20"/>
      <x:c r="M147" s="20"/>
      <x:c r="N147" s="20"/>
      <x:c r="O147" s="20"/>
      <x:c r="P147" s="20"/>
      <x:c r="Q147" s="20"/>
      <x:c r="R147" s="20"/>
      <x:c r="S147" s="20"/>
      <x:c r="T147" s="20"/>
      <x:c r="U147" s="20"/>
      <x:c r="V147" s="20"/>
      <x:c r="W147" s="20"/>
      <x:c r="X147" s="20"/>
      <x:c r="Y147" s="20"/>
      <x:c r="Z147" s="20"/>
    </x:row>
    <x:row r="148">
      <x:c r="A148" s="20"/>
      <x:c r="B148" s="20"/>
      <x:c r="C148" s="20"/>
      <x:c r="D148" s="20"/>
      <x:c r="E148" s="20"/>
      <x:c r="F148" s="20"/>
      <x:c r="G148" s="20"/>
      <x:c r="H148" s="20"/>
      <x:c r="I148" s="20"/>
      <x:c r="J148" s="20"/>
      <x:c r="K148" s="20"/>
      <x:c r="L148" s="20"/>
      <x:c r="M148" s="20"/>
      <x:c r="N148" s="20"/>
      <x:c r="O148" s="20"/>
      <x:c r="P148" s="20"/>
      <x:c r="Q148" s="20"/>
      <x:c r="R148" s="20"/>
      <x:c r="S148" s="20"/>
      <x:c r="T148" s="20"/>
      <x:c r="U148" s="20"/>
      <x:c r="V148" s="20"/>
      <x:c r="W148" s="20"/>
      <x:c r="X148" s="20"/>
      <x:c r="Y148" s="20"/>
      <x:c r="Z148" s="20"/>
    </x:row>
    <x:row r="149">
      <x:c r="A149" s="20"/>
      <x:c r="B149" s="20"/>
      <x:c r="C149" s="20"/>
      <x:c r="D149" s="20"/>
      <x:c r="E149" s="20"/>
      <x:c r="F149" s="20"/>
      <x:c r="G149" s="20"/>
      <x:c r="H149" s="20"/>
      <x:c r="I149" s="20"/>
      <x:c r="J149" s="20"/>
      <x:c r="K149" s="20"/>
      <x:c r="L149" s="20"/>
      <x:c r="M149" s="20"/>
      <x:c r="N149" s="20"/>
      <x:c r="O149" s="20"/>
      <x:c r="P149" s="20"/>
      <x:c r="Q149" s="20"/>
      <x:c r="R149" s="20"/>
      <x:c r="S149" s="20"/>
      <x:c r="T149" s="20"/>
      <x:c r="U149" s="20"/>
      <x:c r="V149" s="20"/>
      <x:c r="W149" s="20"/>
      <x:c r="X149" s="20"/>
      <x:c r="Y149" s="20"/>
      <x:c r="Z149" s="20"/>
    </x:row>
    <x:row r="150">
      <x:c r="A150" s="20"/>
      <x:c r="B150" s="20"/>
      <x:c r="C150" s="20"/>
      <x:c r="D150" s="20"/>
      <x:c r="E150" s="20"/>
      <x:c r="F150" s="20"/>
      <x:c r="G150" s="20"/>
      <x:c r="H150" s="20"/>
      <x:c r="I150" s="20"/>
      <x:c r="J150" s="20"/>
      <x:c r="K150" s="20"/>
      <x:c r="L150" s="20"/>
      <x:c r="M150" s="20"/>
      <x:c r="N150" s="20"/>
      <x:c r="O150" s="20"/>
      <x:c r="P150" s="20"/>
      <x:c r="Q150" s="20"/>
      <x:c r="R150" s="20"/>
      <x:c r="S150" s="20"/>
      <x:c r="T150" s="20"/>
      <x:c r="U150" s="20"/>
      <x:c r="V150" s="20"/>
      <x:c r="W150" s="20"/>
      <x:c r="X150" s="20"/>
      <x:c r="Y150" s="20"/>
      <x:c r="Z150" s="20"/>
    </x:row>
    <x:row r="151">
      <x:c r="A151" s="20"/>
      <x:c r="B151" s="20"/>
      <x:c r="C151" s="20"/>
      <x:c r="D151" s="20"/>
      <x:c r="E151" s="20"/>
      <x:c r="F151" s="20"/>
      <x:c r="G151" s="20"/>
      <x:c r="H151" s="20"/>
      <x:c r="I151" s="20"/>
      <x:c r="J151" s="20"/>
      <x:c r="K151" s="20"/>
      <x:c r="L151" s="20"/>
      <x:c r="M151" s="20"/>
      <x:c r="N151" s="20"/>
      <x:c r="O151" s="20"/>
      <x:c r="P151" s="20"/>
      <x:c r="Q151" s="20"/>
      <x:c r="R151" s="20"/>
      <x:c r="S151" s="20"/>
      <x:c r="T151" s="20"/>
      <x:c r="U151" s="20"/>
      <x:c r="V151" s="20"/>
      <x:c r="W151" s="20"/>
      <x:c r="X151" s="20"/>
      <x:c r="Y151" s="20"/>
      <x:c r="Z151" s="20"/>
    </x:row>
    <x:row r="152">
      <x:c r="A152" s="20"/>
      <x:c r="B152" s="20"/>
      <x:c r="C152" s="20"/>
      <x:c r="D152" s="20"/>
      <x:c r="E152" s="20"/>
      <x:c r="F152" s="20"/>
      <x:c r="G152" s="20"/>
      <x:c r="H152" s="20"/>
      <x:c r="I152" s="20"/>
      <x:c r="J152" s="20"/>
      <x:c r="K152" s="20"/>
      <x:c r="L152" s="20"/>
      <x:c r="M152" s="20"/>
      <x:c r="N152" s="20"/>
      <x:c r="O152" s="20"/>
      <x:c r="P152" s="20"/>
      <x:c r="Q152" s="20"/>
      <x:c r="R152" s="20"/>
      <x:c r="S152" s="20"/>
      <x:c r="T152" s="20"/>
      <x:c r="U152" s="20"/>
      <x:c r="V152" s="20"/>
      <x:c r="W152" s="20"/>
      <x:c r="X152" s="20"/>
      <x:c r="Y152" s="20"/>
      <x:c r="Z152" s="20"/>
    </x:row>
    <x:row r="153">
      <x:c r="A153" s="20"/>
      <x:c r="B153" s="20"/>
      <x:c r="C153" s="20"/>
      <x:c r="D153" s="20"/>
      <x:c r="E153" s="20"/>
      <x:c r="F153" s="20"/>
      <x:c r="G153" s="20"/>
      <x:c r="H153" s="20"/>
      <x:c r="I153" s="20"/>
      <x:c r="J153" s="20"/>
      <x:c r="K153" s="20"/>
      <x:c r="L153" s="20"/>
      <x:c r="M153" s="20"/>
      <x:c r="N153" s="20"/>
      <x:c r="O153" s="20"/>
      <x:c r="P153" s="20"/>
      <x:c r="Q153" s="20"/>
      <x:c r="R153" s="20"/>
      <x:c r="S153" s="20"/>
      <x:c r="T153" s="20"/>
      <x:c r="U153" s="20"/>
      <x:c r="V153" s="20"/>
      <x:c r="W153" s="20"/>
      <x:c r="X153" s="20"/>
      <x:c r="Y153" s="20"/>
      <x:c r="Z153" s="20"/>
    </x:row>
    <x:row r="154">
      <x:c r="A154" s="20"/>
      <x:c r="B154" s="20"/>
      <x:c r="C154" s="20"/>
      <x:c r="D154" s="20"/>
      <x:c r="E154" s="20"/>
      <x:c r="F154" s="20"/>
      <x:c r="G154" s="20"/>
      <x:c r="H154" s="20"/>
      <x:c r="I154" s="20"/>
      <x:c r="J154" s="20"/>
      <x:c r="K154" s="20"/>
      <x:c r="L154" s="20"/>
      <x:c r="M154" s="20"/>
      <x:c r="N154" s="20"/>
      <x:c r="O154" s="20"/>
      <x:c r="P154" s="20"/>
      <x:c r="Q154" s="20"/>
      <x:c r="R154" s="20"/>
      <x:c r="S154" s="20"/>
      <x:c r="T154" s="20"/>
      <x:c r="U154" s="20"/>
      <x:c r="V154" s="20"/>
      <x:c r="W154" s="20"/>
      <x:c r="X154" s="20"/>
      <x:c r="Y154" s="20"/>
      <x:c r="Z154" s="20"/>
    </x:row>
    <x:row r="155">
      <x:c r="A155" s="20"/>
      <x:c r="B155" s="20"/>
      <x:c r="C155" s="20"/>
      <x:c r="D155" s="20"/>
      <x:c r="E155" s="20"/>
      <x:c r="F155" s="20"/>
      <x:c r="G155" s="20"/>
      <x:c r="H155" s="20"/>
      <x:c r="I155" s="20"/>
      <x:c r="J155" s="20"/>
      <x:c r="K155" s="20"/>
      <x:c r="L155" s="20"/>
      <x:c r="M155" s="20"/>
      <x:c r="N155" s="20"/>
      <x:c r="O155" s="20"/>
      <x:c r="P155" s="20"/>
      <x:c r="Q155" s="20"/>
      <x:c r="R155" s="20"/>
      <x:c r="S155" s="20"/>
      <x:c r="T155" s="20"/>
      <x:c r="U155" s="20"/>
      <x:c r="V155" s="20"/>
      <x:c r="W155" s="20"/>
      <x:c r="X155" s="20"/>
      <x:c r="Y155" s="20"/>
      <x:c r="Z155" s="20"/>
    </x:row>
    <x:row r="156">
      <x:c r="A156" s="20"/>
      <x:c r="B156" s="20"/>
      <x:c r="C156" s="20"/>
      <x:c r="D156" s="20"/>
      <x:c r="E156" s="20"/>
      <x:c r="F156" s="20"/>
      <x:c r="G156" s="20"/>
      <x:c r="H156" s="20"/>
      <x:c r="I156" s="20"/>
      <x:c r="J156" s="20"/>
      <x:c r="K156" s="20"/>
      <x:c r="L156" s="20"/>
      <x:c r="M156" s="20"/>
      <x:c r="N156" s="20"/>
      <x:c r="O156" s="20"/>
      <x:c r="P156" s="20"/>
      <x:c r="Q156" s="20"/>
      <x:c r="R156" s="20"/>
      <x:c r="S156" s="20"/>
      <x:c r="T156" s="20"/>
      <x:c r="U156" s="20"/>
      <x:c r="V156" s="20"/>
      <x:c r="W156" s="20"/>
      <x:c r="X156" s="20"/>
      <x:c r="Y156" s="20"/>
      <x:c r="Z156" s="20"/>
    </x:row>
    <x:row r="157">
      <x:c r="A157" s="20"/>
      <x:c r="B157" s="20"/>
      <x:c r="C157" s="20"/>
      <x:c r="D157" s="20"/>
      <x:c r="E157" s="20"/>
      <x:c r="F157" s="20"/>
      <x:c r="G157" s="20"/>
      <x:c r="H157" s="20"/>
      <x:c r="I157" s="20"/>
      <x:c r="J157" s="20"/>
      <x:c r="K157" s="20"/>
      <x:c r="L157" s="20"/>
      <x:c r="M157" s="20"/>
      <x:c r="N157" s="20"/>
      <x:c r="O157" s="20"/>
      <x:c r="P157" s="20"/>
      <x:c r="Q157" s="20"/>
      <x:c r="R157" s="20"/>
      <x:c r="S157" s="20"/>
      <x:c r="T157" s="20"/>
      <x:c r="U157" s="20"/>
      <x:c r="V157" s="20"/>
      <x:c r="W157" s="20"/>
      <x:c r="X157" s="20"/>
      <x:c r="Y157" s="20"/>
      <x:c r="Z157" s="20"/>
    </x:row>
    <x:row r="158">
      <x:c r="A158" s="20"/>
      <x:c r="B158" s="20"/>
      <x:c r="C158" s="20"/>
      <x:c r="D158" s="20"/>
      <x:c r="E158" s="20"/>
      <x:c r="F158" s="20"/>
      <x:c r="G158" s="20"/>
      <x:c r="H158" s="20"/>
      <x:c r="I158" s="20"/>
      <x:c r="J158" s="20"/>
      <x:c r="K158" s="20"/>
      <x:c r="L158" s="20"/>
      <x:c r="M158" s="20"/>
      <x:c r="N158" s="20"/>
      <x:c r="O158" s="20"/>
      <x:c r="P158" s="20"/>
      <x:c r="Q158" s="20"/>
      <x:c r="R158" s="20"/>
      <x:c r="S158" s="20"/>
      <x:c r="T158" s="20"/>
      <x:c r="U158" s="20"/>
      <x:c r="V158" s="20"/>
      <x:c r="W158" s="20"/>
      <x:c r="X158" s="20"/>
      <x:c r="Y158" s="20"/>
      <x:c r="Z158" s="20"/>
    </x:row>
    <x:row r="159">
      <x:c r="A159" s="20"/>
      <x:c r="B159" s="20"/>
      <x:c r="C159" s="20"/>
      <x:c r="D159" s="20"/>
      <x:c r="E159" s="20"/>
      <x:c r="F159" s="20"/>
      <x:c r="G159" s="20"/>
      <x:c r="H159" s="20"/>
      <x:c r="I159" s="20"/>
      <x:c r="J159" s="20"/>
      <x:c r="K159" s="20"/>
      <x:c r="L159" s="20"/>
      <x:c r="M159" s="20"/>
      <x:c r="N159" s="20"/>
      <x:c r="O159" s="20"/>
      <x:c r="P159" s="20"/>
      <x:c r="Q159" s="20"/>
      <x:c r="R159" s="20"/>
      <x:c r="S159" s="20"/>
      <x:c r="T159" s="20"/>
      <x:c r="U159" s="20"/>
      <x:c r="V159" s="20"/>
      <x:c r="W159" s="20"/>
      <x:c r="X159" s="20"/>
      <x:c r="Y159" s="20"/>
      <x:c r="Z159" s="20"/>
    </x:row>
    <x:row r="160">
      <x:c r="A160" s="20"/>
      <x:c r="B160" s="20"/>
      <x:c r="C160" s="20"/>
      <x:c r="D160" s="20"/>
      <x:c r="E160" s="20"/>
      <x:c r="F160" s="20"/>
      <x:c r="G160" s="20"/>
      <x:c r="H160" s="20"/>
      <x:c r="I160" s="20"/>
      <x:c r="J160" s="20"/>
      <x:c r="K160" s="20"/>
      <x:c r="L160" s="20"/>
      <x:c r="M160" s="20"/>
      <x:c r="N160" s="20"/>
      <x:c r="O160" s="20"/>
      <x:c r="P160" s="20"/>
      <x:c r="Q160" s="20"/>
      <x:c r="R160" s="20"/>
      <x:c r="S160" s="20"/>
      <x:c r="T160" s="20"/>
      <x:c r="U160" s="20"/>
      <x:c r="V160" s="20"/>
      <x:c r="W160" s="20"/>
      <x:c r="X160" s="20"/>
      <x:c r="Y160" s="20"/>
      <x:c r="Z160" s="20"/>
    </x:row>
    <x:row r="161">
      <x:c r="A161" s="20"/>
      <x:c r="B161" s="20"/>
      <x:c r="C161" s="20"/>
      <x:c r="D161" s="20"/>
      <x:c r="E161" s="20"/>
      <x:c r="F161" s="20"/>
      <x:c r="G161" s="20"/>
      <x:c r="H161" s="20"/>
      <x:c r="I161" s="20"/>
      <x:c r="J161" s="20"/>
      <x:c r="K161" s="20"/>
      <x:c r="L161" s="20"/>
      <x:c r="M161" s="20"/>
      <x:c r="N161" s="20"/>
      <x:c r="O161" s="20"/>
      <x:c r="P161" s="20"/>
      <x:c r="Q161" s="20"/>
      <x:c r="R161" s="20"/>
      <x:c r="S161" s="20"/>
      <x:c r="T161" s="20"/>
      <x:c r="U161" s="20"/>
      <x:c r="V161" s="20"/>
      <x:c r="W161" s="20"/>
      <x:c r="X161" s="20"/>
      <x:c r="Y161" s="20"/>
      <x:c r="Z161" s="20"/>
    </x:row>
    <x:row r="162">
      <x:c r="A162" s="20"/>
      <x:c r="B162" s="20"/>
      <x:c r="C162" s="20"/>
      <x:c r="D162" s="20"/>
      <x:c r="E162" s="20"/>
      <x:c r="F162" s="20"/>
      <x:c r="G162" s="20"/>
      <x:c r="H162" s="20"/>
      <x:c r="I162" s="20"/>
      <x:c r="J162" s="20"/>
      <x:c r="K162" s="20"/>
      <x:c r="L162" s="20"/>
      <x:c r="M162" s="20"/>
      <x:c r="N162" s="20"/>
      <x:c r="O162" s="20"/>
      <x:c r="P162" s="20"/>
      <x:c r="Q162" s="20"/>
      <x:c r="R162" s="20"/>
      <x:c r="S162" s="20"/>
      <x:c r="T162" s="20"/>
      <x:c r="U162" s="20"/>
      <x:c r="V162" s="20"/>
      <x:c r="W162" s="20"/>
      <x:c r="X162" s="20"/>
      <x:c r="Y162" s="20"/>
      <x:c r="Z162" s="20"/>
    </x:row>
    <x:row r="163">
      <x:c r="A163" s="20"/>
      <x:c r="B163" s="20"/>
      <x:c r="C163" s="20"/>
      <x:c r="D163" s="20"/>
      <x:c r="E163" s="20"/>
      <x:c r="F163" s="20"/>
      <x:c r="G163" s="20"/>
      <x:c r="H163" s="20"/>
      <x:c r="I163" s="20"/>
      <x:c r="J163" s="20"/>
      <x:c r="K163" s="20"/>
      <x:c r="L163" s="20"/>
      <x:c r="M163" s="20"/>
      <x:c r="N163" s="20"/>
      <x:c r="O163" s="20"/>
      <x:c r="P163" s="20"/>
      <x:c r="Q163" s="20"/>
      <x:c r="R163" s="20"/>
      <x:c r="S163" s="20"/>
      <x:c r="T163" s="20"/>
      <x:c r="U163" s="20"/>
      <x:c r="V163" s="20"/>
      <x:c r="W163" s="20"/>
      <x:c r="X163" s="20"/>
      <x:c r="Y163" s="20"/>
      <x:c r="Z163" s="20"/>
    </x:row>
    <x:row r="164">
      <x:c r="A164" s="20"/>
      <x:c r="B164" s="20"/>
      <x:c r="C164" s="20"/>
      <x:c r="D164" s="20"/>
      <x:c r="E164" s="20"/>
      <x:c r="F164" s="20"/>
      <x:c r="G164" s="20"/>
      <x:c r="H164" s="20"/>
      <x:c r="I164" s="20"/>
      <x:c r="J164" s="20"/>
      <x:c r="K164" s="20"/>
      <x:c r="L164" s="20"/>
      <x:c r="M164" s="20"/>
      <x:c r="N164" s="20"/>
      <x:c r="O164" s="20"/>
      <x:c r="P164" s="20"/>
      <x:c r="Q164" s="20"/>
      <x:c r="R164" s="20"/>
      <x:c r="S164" s="20"/>
      <x:c r="T164" s="20"/>
      <x:c r="U164" s="20"/>
      <x:c r="V164" s="20"/>
      <x:c r="W164" s="20"/>
      <x:c r="X164" s="20"/>
      <x:c r="Y164" s="20"/>
      <x:c r="Z164" s="20"/>
    </x:row>
    <x:row r="165">
      <x:c r="A165" s="20"/>
      <x:c r="B165" s="20"/>
      <x:c r="C165" s="20"/>
      <x:c r="D165" s="20"/>
      <x:c r="E165" s="20"/>
      <x:c r="F165" s="20"/>
      <x:c r="G165" s="20"/>
      <x:c r="H165" s="20"/>
      <x:c r="I165" s="20"/>
      <x:c r="J165" s="20"/>
      <x:c r="K165" s="20"/>
      <x:c r="L165" s="20"/>
      <x:c r="M165" s="20"/>
      <x:c r="N165" s="20"/>
      <x:c r="O165" s="20"/>
      <x:c r="P165" s="20"/>
      <x:c r="Q165" s="20"/>
      <x:c r="R165" s="20"/>
      <x:c r="S165" s="20"/>
      <x:c r="T165" s="20"/>
      <x:c r="U165" s="20"/>
      <x:c r="V165" s="20"/>
      <x:c r="W165" s="20"/>
      <x:c r="X165" s="20"/>
      <x:c r="Y165" s="20"/>
      <x:c r="Z165" s="20"/>
    </x:row>
    <x:row r="166">
      <x:c r="A166" s="20"/>
      <x:c r="B166" s="20"/>
      <x:c r="C166" s="20"/>
      <x:c r="D166" s="20"/>
      <x:c r="E166" s="20"/>
      <x:c r="F166" s="20"/>
      <x:c r="G166" s="20"/>
      <x:c r="H166" s="20"/>
      <x:c r="I166" s="20"/>
      <x:c r="J166" s="20"/>
      <x:c r="K166" s="20"/>
      <x:c r="L166" s="20"/>
      <x:c r="M166" s="20"/>
      <x:c r="N166" s="20"/>
      <x:c r="O166" s="20"/>
      <x:c r="P166" s="20"/>
      <x:c r="Q166" s="20"/>
      <x:c r="R166" s="20"/>
      <x:c r="S166" s="20"/>
      <x:c r="T166" s="20"/>
      <x:c r="U166" s="20"/>
      <x:c r="V166" s="20"/>
      <x:c r="W166" s="20"/>
      <x:c r="X166" s="20"/>
      <x:c r="Y166" s="20"/>
      <x:c r="Z166" s="20"/>
    </x:row>
    <x:row r="167">
      <x:c r="A167" s="20"/>
      <x:c r="B167" s="20"/>
      <x:c r="C167" s="20"/>
      <x:c r="D167" s="20"/>
      <x:c r="E167" s="20"/>
      <x:c r="F167" s="20"/>
      <x:c r="G167" s="20"/>
      <x:c r="H167" s="20"/>
      <x:c r="I167" s="20"/>
      <x:c r="J167" s="20"/>
      <x:c r="K167" s="20"/>
      <x:c r="L167" s="20"/>
      <x:c r="M167" s="20"/>
      <x:c r="N167" s="20"/>
      <x:c r="O167" s="20"/>
      <x:c r="P167" s="20"/>
      <x:c r="Q167" s="20"/>
      <x:c r="R167" s="20"/>
      <x:c r="S167" s="20"/>
      <x:c r="T167" s="20"/>
      <x:c r="U167" s="20"/>
      <x:c r="V167" s="20"/>
      <x:c r="W167" s="20"/>
      <x:c r="X167" s="20"/>
      <x:c r="Y167" s="20"/>
      <x:c r="Z167" s="20"/>
    </x:row>
    <x:row r="168">
      <x:c r="A168" s="20"/>
      <x:c r="B168" s="20"/>
      <x:c r="C168" s="20"/>
      <x:c r="D168" s="20"/>
      <x:c r="E168" s="20"/>
      <x:c r="F168" s="20"/>
      <x:c r="G168" s="20"/>
      <x:c r="H168" s="20"/>
      <x:c r="I168" s="20"/>
      <x:c r="J168" s="20"/>
      <x:c r="K168" s="20"/>
      <x:c r="L168" s="20"/>
      <x:c r="M168" s="20"/>
      <x:c r="N168" s="20"/>
      <x:c r="O168" s="20"/>
      <x:c r="P168" s="20"/>
      <x:c r="Q168" s="20"/>
      <x:c r="R168" s="20"/>
      <x:c r="S168" s="20"/>
      <x:c r="T168" s="20"/>
      <x:c r="U168" s="20"/>
      <x:c r="V168" s="20"/>
      <x:c r="W168" s="20"/>
      <x:c r="X168" s="20"/>
      <x:c r="Y168" s="20"/>
      <x:c r="Z168" s="20"/>
    </x:row>
    <x:row r="169">
      <x:c r="A169" s="20"/>
      <x:c r="B169" s="20"/>
      <x:c r="C169" s="20"/>
      <x:c r="D169" s="20"/>
      <x:c r="E169" s="20"/>
      <x:c r="F169" s="20"/>
      <x:c r="G169" s="20"/>
      <x:c r="H169" s="20"/>
      <x:c r="I169" s="20"/>
      <x:c r="J169" s="20"/>
      <x:c r="K169" s="20"/>
      <x:c r="L169" s="20"/>
      <x:c r="M169" s="20"/>
      <x:c r="N169" s="20"/>
      <x:c r="O169" s="20"/>
      <x:c r="P169" s="20"/>
      <x:c r="Q169" s="20"/>
      <x:c r="R169" s="20"/>
      <x:c r="S169" s="20"/>
      <x:c r="T169" s="20"/>
      <x:c r="U169" s="20"/>
      <x:c r="V169" s="20"/>
      <x:c r="W169" s="20"/>
      <x:c r="X169" s="20"/>
      <x:c r="Y169" s="20"/>
      <x:c r="Z169" s="20"/>
    </x:row>
    <x:row r="170">
      <x:c r="A170" s="20"/>
      <x:c r="B170" s="20"/>
      <x:c r="C170" s="20"/>
      <x:c r="D170" s="20"/>
      <x:c r="E170" s="20"/>
      <x:c r="F170" s="20"/>
      <x:c r="G170" s="20"/>
      <x:c r="H170" s="20"/>
      <x:c r="I170" s="20"/>
      <x:c r="J170" s="20"/>
      <x:c r="K170" s="20"/>
      <x:c r="L170" s="20"/>
      <x:c r="M170" s="20"/>
      <x:c r="N170" s="20"/>
      <x:c r="O170" s="20"/>
      <x:c r="P170" s="20"/>
      <x:c r="Q170" s="20"/>
      <x:c r="R170" s="20"/>
      <x:c r="S170" s="20"/>
      <x:c r="T170" s="20"/>
      <x:c r="U170" s="20"/>
      <x:c r="V170" s="20"/>
      <x:c r="W170" s="20"/>
      <x:c r="X170" s="20"/>
      <x:c r="Y170" s="20"/>
      <x:c r="Z170" s="20"/>
    </x:row>
    <x:row r="171">
      <x:c r="A171" s="20"/>
      <x:c r="B171" s="20"/>
      <x:c r="C171" s="20"/>
      <x:c r="D171" s="20"/>
      <x:c r="E171" s="20"/>
      <x:c r="F171" s="20"/>
      <x:c r="G171" s="20"/>
      <x:c r="H171" s="20"/>
      <x:c r="I171" s="20"/>
      <x:c r="J171" s="20"/>
      <x:c r="K171" s="20"/>
      <x:c r="L171" s="20"/>
      <x:c r="M171" s="20"/>
      <x:c r="N171" s="20"/>
      <x:c r="O171" s="20"/>
      <x:c r="P171" s="20"/>
      <x:c r="Q171" s="20"/>
      <x:c r="R171" s="20"/>
      <x:c r="S171" s="20"/>
      <x:c r="T171" s="20"/>
      <x:c r="U171" s="20"/>
      <x:c r="V171" s="20"/>
      <x:c r="W171" s="20"/>
      <x:c r="X171" s="20"/>
      <x:c r="Y171" s="20"/>
      <x:c r="Z171" s="20"/>
    </x:row>
    <x:row r="172">
      <x:c r="A172" s="20"/>
      <x:c r="B172" s="20"/>
      <x:c r="C172" s="20"/>
      <x:c r="D172" s="20"/>
      <x:c r="E172" s="20"/>
      <x:c r="F172" s="20"/>
      <x:c r="G172" s="20"/>
      <x:c r="H172" s="20"/>
      <x:c r="I172" s="20"/>
      <x:c r="J172" s="20"/>
      <x:c r="K172" s="20"/>
      <x:c r="L172" s="20"/>
      <x:c r="M172" s="20"/>
      <x:c r="N172" s="20"/>
      <x:c r="O172" s="20"/>
      <x:c r="P172" s="20"/>
      <x:c r="Q172" s="20"/>
      <x:c r="R172" s="20"/>
      <x:c r="S172" s="20"/>
      <x:c r="T172" s="20"/>
      <x:c r="U172" s="20"/>
      <x:c r="V172" s="20"/>
      <x:c r="W172" s="20"/>
      <x:c r="X172" s="20"/>
      <x:c r="Y172" s="20"/>
      <x:c r="Z172" s="20"/>
    </x:row>
    <x:row r="173">
      <x:c r="A173" s="20"/>
      <x:c r="B173" s="20"/>
      <x:c r="C173" s="20"/>
      <x:c r="D173" s="20"/>
      <x:c r="E173" s="20"/>
      <x:c r="F173" s="20"/>
      <x:c r="G173" s="20"/>
      <x:c r="H173" s="20"/>
      <x:c r="I173" s="20"/>
      <x:c r="J173" s="20"/>
      <x:c r="K173" s="20"/>
      <x:c r="L173" s="20"/>
      <x:c r="M173" s="20"/>
      <x:c r="N173" s="20"/>
      <x:c r="O173" s="20"/>
      <x:c r="P173" s="20"/>
      <x:c r="Q173" s="20"/>
      <x:c r="R173" s="20"/>
      <x:c r="S173" s="20"/>
      <x:c r="T173" s="20"/>
      <x:c r="U173" s="20"/>
      <x:c r="V173" s="20"/>
      <x:c r="W173" s="20"/>
      <x:c r="X173" s="20"/>
      <x:c r="Y173" s="20"/>
      <x:c r="Z173" s="20"/>
    </x:row>
    <x:row r="174">
      <x:c r="A174" s="20"/>
      <x:c r="B174" s="20"/>
      <x:c r="C174" s="20"/>
      <x:c r="D174" s="20"/>
      <x:c r="E174" s="20"/>
      <x:c r="F174" s="20"/>
      <x:c r="G174" s="20"/>
      <x:c r="H174" s="20"/>
      <x:c r="I174" s="20"/>
      <x:c r="J174" s="20"/>
      <x:c r="K174" s="20"/>
      <x:c r="L174" s="20"/>
      <x:c r="M174" s="20"/>
      <x:c r="N174" s="20"/>
      <x:c r="O174" s="20"/>
      <x:c r="P174" s="20"/>
      <x:c r="Q174" s="20"/>
      <x:c r="R174" s="20"/>
      <x:c r="S174" s="20"/>
      <x:c r="T174" s="20"/>
      <x:c r="U174" s="20"/>
      <x:c r="V174" s="20"/>
      <x:c r="W174" s="20"/>
      <x:c r="X174" s="20"/>
      <x:c r="Y174" s="20"/>
      <x:c r="Z174" s="20"/>
    </x:row>
    <x:row r="175">
      <x:c r="A175" s="20"/>
      <x:c r="B175" s="20"/>
      <x:c r="C175" s="20"/>
      <x:c r="D175" s="20"/>
      <x:c r="E175" s="20"/>
      <x:c r="F175" s="20"/>
      <x:c r="G175" s="20"/>
      <x:c r="H175" s="20"/>
      <x:c r="I175" s="20"/>
      <x:c r="J175" s="20"/>
      <x:c r="K175" s="20"/>
      <x:c r="L175" s="20"/>
      <x:c r="M175" s="20"/>
      <x:c r="N175" s="20"/>
      <x:c r="O175" s="20"/>
      <x:c r="P175" s="20"/>
      <x:c r="Q175" s="20"/>
      <x:c r="R175" s="20"/>
      <x:c r="S175" s="20"/>
      <x:c r="T175" s="20"/>
      <x:c r="U175" s="20"/>
      <x:c r="V175" s="20"/>
      <x:c r="W175" s="20"/>
      <x:c r="X175" s="20"/>
      <x:c r="Y175" s="20"/>
      <x:c r="Z175" s="20"/>
    </x:row>
    <x:row r="176">
      <x:c r="A176" s="20"/>
      <x:c r="B176" s="20"/>
      <x:c r="C176" s="20"/>
      <x:c r="D176" s="20"/>
      <x:c r="E176" s="20"/>
      <x:c r="F176" s="20"/>
      <x:c r="G176" s="20"/>
      <x:c r="H176" s="20"/>
      <x:c r="I176" s="20"/>
      <x:c r="J176" s="20"/>
      <x:c r="K176" s="20"/>
      <x:c r="L176" s="20"/>
      <x:c r="M176" s="20"/>
      <x:c r="N176" s="20"/>
      <x:c r="O176" s="20"/>
      <x:c r="P176" s="20"/>
      <x:c r="Q176" s="20"/>
      <x:c r="R176" s="20"/>
      <x:c r="S176" s="20"/>
      <x:c r="T176" s="20"/>
      <x:c r="U176" s="20"/>
      <x:c r="V176" s="20"/>
      <x:c r="W176" s="20"/>
      <x:c r="X176" s="20"/>
      <x:c r="Y176" s="20"/>
      <x:c r="Z176" s="20"/>
    </x:row>
    <x:row r="177">
      <x:c r="A177" s="20"/>
      <x:c r="B177" s="20"/>
      <x:c r="C177" s="20"/>
      <x:c r="D177" s="20"/>
      <x:c r="E177" s="20"/>
      <x:c r="F177" s="20"/>
      <x:c r="G177" s="20"/>
      <x:c r="H177" s="20"/>
      <x:c r="I177" s="20"/>
      <x:c r="J177" s="20"/>
      <x:c r="K177" s="20"/>
      <x:c r="L177" s="20"/>
      <x:c r="M177" s="20"/>
      <x:c r="N177" s="20"/>
      <x:c r="O177" s="20"/>
      <x:c r="P177" s="20"/>
      <x:c r="Q177" s="20"/>
      <x:c r="R177" s="20"/>
      <x:c r="S177" s="20"/>
      <x:c r="T177" s="20"/>
      <x:c r="U177" s="20"/>
      <x:c r="V177" s="20"/>
      <x:c r="W177" s="20"/>
      <x:c r="X177" s="20"/>
      <x:c r="Y177" s="20"/>
      <x:c r="Z177" s="20"/>
    </x:row>
    <x:row r="178">
      <x:c r="A178" s="20"/>
      <x:c r="B178" s="20"/>
      <x:c r="C178" s="20"/>
      <x:c r="D178" s="20"/>
      <x:c r="E178" s="20"/>
      <x:c r="F178" s="20"/>
      <x:c r="G178" s="20"/>
      <x:c r="H178" s="20"/>
      <x:c r="I178" s="20"/>
      <x:c r="J178" s="20"/>
      <x:c r="K178" s="20"/>
      <x:c r="L178" s="20"/>
      <x:c r="M178" s="20"/>
      <x:c r="N178" s="20"/>
      <x:c r="O178" s="20"/>
      <x:c r="P178" s="20"/>
      <x:c r="Q178" s="20"/>
      <x:c r="R178" s="20"/>
      <x:c r="S178" s="20"/>
      <x:c r="T178" s="20"/>
      <x:c r="U178" s="20"/>
      <x:c r="V178" s="20"/>
      <x:c r="W178" s="20"/>
      <x:c r="X178" s="20"/>
      <x:c r="Y178" s="20"/>
      <x:c r="Z178" s="20"/>
    </x:row>
    <x:row r="179">
      <x:c r="A179" s="20"/>
      <x:c r="B179" s="20"/>
      <x:c r="C179" s="20"/>
      <x:c r="D179" s="20"/>
      <x:c r="E179" s="20"/>
      <x:c r="F179" s="20"/>
      <x:c r="G179" s="20"/>
      <x:c r="H179" s="20"/>
      <x:c r="I179" s="20"/>
      <x:c r="J179" s="20"/>
      <x:c r="K179" s="20"/>
      <x:c r="L179" s="20"/>
      <x:c r="M179" s="20"/>
      <x:c r="N179" s="20"/>
      <x:c r="O179" s="20"/>
      <x:c r="P179" s="20"/>
      <x:c r="Q179" s="20"/>
      <x:c r="R179" s="20"/>
      <x:c r="S179" s="20"/>
      <x:c r="T179" s="20"/>
      <x:c r="U179" s="20"/>
      <x:c r="V179" s="20"/>
      <x:c r="W179" s="20"/>
      <x:c r="X179" s="20"/>
      <x:c r="Y179" s="20"/>
      <x:c r="Z179" s="20"/>
    </x:row>
    <x:row r="180">
      <x:c r="A180" s="20"/>
      <x:c r="B180" s="20"/>
      <x:c r="C180" s="20"/>
      <x:c r="D180" s="20"/>
      <x:c r="E180" s="20"/>
      <x:c r="F180" s="20"/>
      <x:c r="G180" s="20"/>
      <x:c r="H180" s="20"/>
      <x:c r="I180" s="20"/>
      <x:c r="J180" s="20"/>
      <x:c r="K180" s="20"/>
      <x:c r="L180" s="20"/>
      <x:c r="M180" s="20"/>
      <x:c r="N180" s="20"/>
      <x:c r="O180" s="20"/>
      <x:c r="P180" s="20"/>
      <x:c r="Q180" s="20"/>
      <x:c r="R180" s="20"/>
      <x:c r="S180" s="20"/>
      <x:c r="T180" s="20"/>
      <x:c r="U180" s="20"/>
      <x:c r="V180" s="20"/>
      <x:c r="W180" s="20"/>
      <x:c r="X180" s="20"/>
      <x:c r="Y180" s="20"/>
      <x:c r="Z180" s="20"/>
    </x:row>
    <x:row r="181">
      <x:c r="A181" s="20"/>
      <x:c r="B181" s="20"/>
      <x:c r="C181" s="20"/>
      <x:c r="D181" s="20"/>
      <x:c r="E181" s="20"/>
      <x:c r="F181" s="20"/>
      <x:c r="G181" s="20"/>
      <x:c r="H181" s="20"/>
      <x:c r="I181" s="20"/>
      <x:c r="J181" s="20"/>
      <x:c r="K181" s="20"/>
      <x:c r="L181" s="20"/>
      <x:c r="M181" s="20"/>
      <x:c r="N181" s="20"/>
      <x:c r="O181" s="20"/>
      <x:c r="P181" s="20"/>
      <x:c r="Q181" s="20"/>
      <x:c r="R181" s="20"/>
      <x:c r="S181" s="20"/>
      <x:c r="T181" s="20"/>
      <x:c r="U181" s="20"/>
      <x:c r="V181" s="20"/>
      <x:c r="W181" s="20"/>
      <x:c r="X181" s="20"/>
      <x:c r="Y181" s="20"/>
      <x:c r="Z181" s="20"/>
    </x:row>
    <x:row r="182">
      <x:c r="A182" s="20"/>
      <x:c r="B182" s="20"/>
      <x:c r="C182" s="20"/>
      <x:c r="D182" s="20"/>
      <x:c r="E182" s="20"/>
      <x:c r="F182" s="20"/>
      <x:c r="G182" s="20"/>
      <x:c r="H182" s="20"/>
      <x:c r="I182" s="20"/>
      <x:c r="J182" s="20"/>
      <x:c r="K182" s="20"/>
      <x:c r="L182" s="20"/>
      <x:c r="M182" s="20"/>
      <x:c r="N182" s="20"/>
      <x:c r="O182" s="20"/>
      <x:c r="P182" s="20"/>
      <x:c r="Q182" s="20"/>
      <x:c r="R182" s="20"/>
      <x:c r="S182" s="20"/>
      <x:c r="T182" s="20"/>
      <x:c r="U182" s="20"/>
      <x:c r="V182" s="20"/>
      <x:c r="W182" s="20"/>
      <x:c r="X182" s="20"/>
      <x:c r="Y182" s="20"/>
      <x:c r="Z182" s="20"/>
    </x:row>
    <x:row r="183">
      <x:c r="A183" s="20"/>
      <x:c r="B183" s="20"/>
      <x:c r="C183" s="20"/>
      <x:c r="D183" s="20"/>
      <x:c r="E183" s="20"/>
      <x:c r="F183" s="20"/>
      <x:c r="G183" s="20"/>
      <x:c r="H183" s="20"/>
      <x:c r="I183" s="20"/>
      <x:c r="J183" s="20"/>
      <x:c r="K183" s="20"/>
      <x:c r="L183" s="20"/>
      <x:c r="M183" s="20"/>
      <x:c r="N183" s="20"/>
      <x:c r="O183" s="20"/>
      <x:c r="P183" s="20"/>
      <x:c r="Q183" s="20"/>
      <x:c r="R183" s="20"/>
      <x:c r="S183" s="20"/>
      <x:c r="T183" s="20"/>
      <x:c r="U183" s="20"/>
      <x:c r="V183" s="20"/>
      <x:c r="W183" s="20"/>
      <x:c r="X183" s="20"/>
      <x:c r="Y183" s="20"/>
      <x:c r="Z183" s="20"/>
    </x:row>
    <x:row r="184">
      <x:c r="A184" s="20"/>
      <x:c r="B184" s="20"/>
      <x:c r="C184" s="20"/>
      <x:c r="D184" s="20"/>
      <x:c r="E184" s="20"/>
      <x:c r="F184" s="20"/>
      <x:c r="G184" s="20"/>
      <x:c r="H184" s="20"/>
      <x:c r="I184" s="20"/>
      <x:c r="J184" s="20"/>
      <x:c r="K184" s="20"/>
      <x:c r="L184" s="20"/>
      <x:c r="M184" s="20"/>
      <x:c r="N184" s="20"/>
      <x:c r="O184" s="20"/>
      <x:c r="P184" s="20"/>
      <x:c r="Q184" s="20"/>
      <x:c r="R184" s="20"/>
      <x:c r="S184" s="20"/>
      <x:c r="T184" s="20"/>
      <x:c r="U184" s="20"/>
      <x:c r="V184" s="20"/>
      <x:c r="W184" s="20"/>
      <x:c r="X184" s="20"/>
      <x:c r="Y184" s="20"/>
      <x:c r="Z184" s="20"/>
    </x:row>
    <x:row r="185">
      <x:c r="A185" s="20"/>
      <x:c r="B185" s="20"/>
      <x:c r="C185" s="20"/>
      <x:c r="D185" s="20"/>
      <x:c r="E185" s="20"/>
      <x:c r="F185" s="20"/>
      <x:c r="G185" s="20"/>
      <x:c r="H185" s="20"/>
      <x:c r="I185" s="20"/>
      <x:c r="J185" s="20"/>
      <x:c r="K185" s="20"/>
      <x:c r="L185" s="20"/>
      <x:c r="M185" s="20"/>
      <x:c r="N185" s="20"/>
      <x:c r="O185" s="20"/>
      <x:c r="P185" s="20"/>
      <x:c r="Q185" s="20"/>
      <x:c r="R185" s="20"/>
      <x:c r="S185" s="20"/>
      <x:c r="T185" s="20"/>
      <x:c r="U185" s="20"/>
      <x:c r="V185" s="20"/>
      <x:c r="W185" s="20"/>
      <x:c r="X185" s="20"/>
      <x:c r="Y185" s="20"/>
      <x:c r="Z185" s="20"/>
    </x:row>
    <x:row r="186">
      <x:c r="A186" s="20"/>
      <x:c r="B186" s="20"/>
      <x:c r="C186" s="20"/>
      <x:c r="D186" s="20"/>
      <x:c r="E186" s="20"/>
      <x:c r="F186" s="20"/>
      <x:c r="G186" s="20"/>
      <x:c r="H186" s="20"/>
      <x:c r="I186" s="20"/>
      <x:c r="J186" s="20"/>
      <x:c r="K186" s="20"/>
      <x:c r="L186" s="20"/>
      <x:c r="M186" s="20"/>
      <x:c r="N186" s="20"/>
      <x:c r="O186" s="20"/>
      <x:c r="P186" s="20"/>
      <x:c r="Q186" s="20"/>
      <x:c r="R186" s="20"/>
      <x:c r="S186" s="20"/>
      <x:c r="T186" s="20"/>
      <x:c r="U186" s="20"/>
      <x:c r="V186" s="20"/>
      <x:c r="W186" s="20"/>
      <x:c r="X186" s="20"/>
      <x:c r="Y186" s="20"/>
      <x:c r="Z186" s="20"/>
    </x:row>
    <x:row r="187">
      <x:c r="A187" s="20"/>
      <x:c r="B187" s="20"/>
      <x:c r="C187" s="20"/>
      <x:c r="D187" s="20"/>
      <x:c r="E187" s="20"/>
      <x:c r="F187" s="20"/>
      <x:c r="G187" s="20"/>
      <x:c r="H187" s="20"/>
      <x:c r="I187" s="20"/>
      <x:c r="J187" s="20"/>
      <x:c r="K187" s="20"/>
      <x:c r="L187" s="20"/>
      <x:c r="M187" s="20"/>
      <x:c r="N187" s="20"/>
      <x:c r="O187" s="20"/>
      <x:c r="P187" s="20"/>
      <x:c r="Q187" s="20"/>
      <x:c r="R187" s="20"/>
      <x:c r="S187" s="20"/>
      <x:c r="T187" s="20"/>
      <x:c r="U187" s="20"/>
      <x:c r="V187" s="20"/>
      <x:c r="W187" s="20"/>
      <x:c r="X187" s="20"/>
      <x:c r="Y187" s="20"/>
      <x:c r="Z187" s="20"/>
    </x:row>
    <x:row r="188">
      <x:c r="A188" s="20"/>
      <x:c r="B188" s="20"/>
      <x:c r="C188" s="20"/>
      <x:c r="D188" s="20"/>
      <x:c r="E188" s="20"/>
      <x:c r="F188" s="20"/>
      <x:c r="G188" s="20"/>
      <x:c r="H188" s="20"/>
      <x:c r="I188" s="20"/>
      <x:c r="J188" s="20"/>
      <x:c r="K188" s="20"/>
      <x:c r="L188" s="20"/>
      <x:c r="M188" s="20"/>
      <x:c r="N188" s="20"/>
      <x:c r="O188" s="20"/>
      <x:c r="P188" s="20"/>
      <x:c r="Q188" s="20"/>
      <x:c r="R188" s="20"/>
      <x:c r="S188" s="20"/>
      <x:c r="T188" s="20"/>
      <x:c r="U188" s="20"/>
      <x:c r="V188" s="20"/>
      <x:c r="W188" s="20"/>
      <x:c r="X188" s="20"/>
      <x:c r="Y188" s="20"/>
      <x:c r="Z188" s="20"/>
    </x:row>
    <x:row r="189">
      <x:c r="A189" s="20"/>
      <x:c r="B189" s="20"/>
      <x:c r="C189" s="20"/>
      <x:c r="D189" s="20"/>
      <x:c r="E189" s="20"/>
      <x:c r="F189" s="20"/>
      <x:c r="G189" s="20"/>
      <x:c r="H189" s="20"/>
      <x:c r="I189" s="20"/>
      <x:c r="J189" s="20"/>
      <x:c r="K189" s="20"/>
      <x:c r="L189" s="20"/>
      <x:c r="M189" s="20"/>
      <x:c r="N189" s="20"/>
      <x:c r="O189" s="20"/>
      <x:c r="P189" s="20"/>
      <x:c r="Q189" s="20"/>
      <x:c r="R189" s="20"/>
      <x:c r="S189" s="20"/>
      <x:c r="T189" s="20"/>
      <x:c r="U189" s="20"/>
      <x:c r="V189" s="20"/>
      <x:c r="W189" s="20"/>
      <x:c r="X189" s="20"/>
      <x:c r="Y189" s="20"/>
      <x:c r="Z189" s="20"/>
    </x:row>
    <x:row r="190">
      <x:c r="A190" s="20"/>
      <x:c r="B190" s="20"/>
      <x:c r="C190" s="20"/>
      <x:c r="D190" s="20"/>
      <x:c r="E190" s="20"/>
      <x:c r="F190" s="20"/>
      <x:c r="G190" s="20"/>
      <x:c r="H190" s="20"/>
      <x:c r="I190" s="20"/>
      <x:c r="J190" s="20"/>
      <x:c r="K190" s="20"/>
      <x:c r="L190" s="20"/>
      <x:c r="M190" s="20"/>
      <x:c r="N190" s="20"/>
      <x:c r="O190" s="20"/>
      <x:c r="P190" s="20"/>
      <x:c r="Q190" s="20"/>
      <x:c r="R190" s="20"/>
      <x:c r="S190" s="20"/>
      <x:c r="T190" s="20"/>
      <x:c r="U190" s="20"/>
      <x:c r="V190" s="20"/>
      <x:c r="W190" s="20"/>
      <x:c r="X190" s="20"/>
      <x:c r="Y190" s="20"/>
      <x:c r="Z190" s="20"/>
    </x:row>
    <x:row r="191">
      <x:c r="A191" s="20"/>
      <x:c r="B191" s="20"/>
      <x:c r="C191" s="20"/>
      <x:c r="D191" s="20"/>
      <x:c r="E191" s="20"/>
      <x:c r="F191" s="20"/>
      <x:c r="G191" s="20"/>
      <x:c r="H191" s="20"/>
      <x:c r="I191" s="20"/>
      <x:c r="J191" s="20"/>
      <x:c r="K191" s="20"/>
      <x:c r="L191" s="20"/>
      <x:c r="M191" s="20"/>
      <x:c r="N191" s="20"/>
      <x:c r="O191" s="20"/>
      <x:c r="P191" s="20"/>
      <x:c r="Q191" s="20"/>
      <x:c r="R191" s="20"/>
      <x:c r="S191" s="20"/>
      <x:c r="T191" s="20"/>
      <x:c r="U191" s="20"/>
      <x:c r="V191" s="20"/>
      <x:c r="W191" s="20"/>
      <x:c r="X191" s="20"/>
      <x:c r="Y191" s="20"/>
      <x:c r="Z191" s="20"/>
    </x:row>
    <x:row r="192">
      <x:c r="A192" s="20"/>
      <x:c r="B192" s="20"/>
      <x:c r="C192" s="20"/>
      <x:c r="D192" s="20"/>
      <x:c r="E192" s="20"/>
      <x:c r="F192" s="20"/>
      <x:c r="G192" s="20"/>
      <x:c r="H192" s="20"/>
      <x:c r="I192" s="20"/>
      <x:c r="J192" s="20"/>
      <x:c r="K192" s="20"/>
      <x:c r="L192" s="20"/>
      <x:c r="M192" s="20"/>
      <x:c r="N192" s="20"/>
      <x:c r="O192" s="20"/>
      <x:c r="P192" s="20"/>
      <x:c r="Q192" s="20"/>
      <x:c r="R192" s="20"/>
      <x:c r="S192" s="20"/>
      <x:c r="T192" s="20"/>
      <x:c r="U192" s="20"/>
      <x:c r="V192" s="20"/>
      <x:c r="W192" s="20"/>
      <x:c r="X192" s="20"/>
      <x:c r="Y192" s="20"/>
      <x:c r="Z192" s="20"/>
    </x:row>
    <x:row r="193">
      <x:c r="A193" s="20"/>
      <x:c r="B193" s="20"/>
      <x:c r="C193" s="20"/>
      <x:c r="D193" s="20"/>
      <x:c r="E193" s="20"/>
      <x:c r="F193" s="20"/>
      <x:c r="G193" s="20"/>
      <x:c r="H193" s="20"/>
      <x:c r="I193" s="20"/>
      <x:c r="J193" s="20"/>
      <x:c r="K193" s="20"/>
      <x:c r="L193" s="20"/>
      <x:c r="M193" s="20"/>
      <x:c r="N193" s="20"/>
      <x:c r="O193" s="20"/>
      <x:c r="P193" s="20"/>
      <x:c r="Q193" s="20"/>
      <x:c r="R193" s="20"/>
      <x:c r="S193" s="20"/>
      <x:c r="T193" s="20"/>
      <x:c r="U193" s="20"/>
      <x:c r="V193" s="20"/>
      <x:c r="W193" s="20"/>
      <x:c r="X193" s="20"/>
      <x:c r="Y193" s="20"/>
      <x:c r="Z193" s="20"/>
    </x:row>
    <x:row r="194">
      <x:c r="A194" s="20"/>
      <x:c r="B194" s="20"/>
      <x:c r="C194" s="20"/>
      <x:c r="D194" s="20"/>
      <x:c r="E194" s="20"/>
      <x:c r="F194" s="20"/>
      <x:c r="G194" s="20"/>
      <x:c r="H194" s="20"/>
      <x:c r="I194" s="20"/>
      <x:c r="J194" s="20"/>
      <x:c r="K194" s="20"/>
      <x:c r="L194" s="20"/>
      <x:c r="M194" s="20"/>
      <x:c r="N194" s="20"/>
      <x:c r="O194" s="20"/>
      <x:c r="P194" s="20"/>
      <x:c r="Q194" s="20"/>
      <x:c r="R194" s="20"/>
      <x:c r="S194" s="20"/>
      <x:c r="T194" s="20"/>
      <x:c r="U194" s="20"/>
      <x:c r="V194" s="20"/>
      <x:c r="W194" s="20"/>
      <x:c r="X194" s="20"/>
      <x:c r="Y194" s="20"/>
      <x:c r="Z194" s="20"/>
    </x:row>
    <x:row r="195">
      <x:c r="A195" s="20"/>
      <x:c r="B195" s="20"/>
      <x:c r="C195" s="20"/>
      <x:c r="D195" s="20"/>
      <x:c r="E195" s="20"/>
      <x:c r="F195" s="20"/>
      <x:c r="G195" s="20"/>
      <x:c r="H195" s="20"/>
      <x:c r="I195" s="20"/>
      <x:c r="J195" s="20"/>
      <x:c r="K195" s="20"/>
      <x:c r="L195" s="20"/>
      <x:c r="M195" s="20"/>
      <x:c r="N195" s="20"/>
      <x:c r="O195" s="20"/>
      <x:c r="P195" s="20"/>
      <x:c r="Q195" s="20"/>
      <x:c r="R195" s="20"/>
      <x:c r="S195" s="20"/>
      <x:c r="T195" s="20"/>
      <x:c r="U195" s="20"/>
      <x:c r="V195" s="20"/>
      <x:c r="W195" s="20"/>
      <x:c r="X195" s="20"/>
      <x:c r="Y195" s="20"/>
      <x:c r="Z195" s="20"/>
    </x:row>
    <x:row r="196">
      <x:c r="A196" s="20"/>
      <x:c r="B196" s="20"/>
      <x:c r="C196" s="20"/>
      <x:c r="D196" s="20"/>
      <x:c r="E196" s="20"/>
      <x:c r="F196" s="20"/>
      <x:c r="G196" s="20"/>
      <x:c r="H196" s="20"/>
      <x:c r="I196" s="20"/>
      <x:c r="J196" s="20"/>
      <x:c r="K196" s="20"/>
      <x:c r="L196" s="20"/>
      <x:c r="M196" s="20"/>
      <x:c r="N196" s="20"/>
      <x:c r="O196" s="20"/>
      <x:c r="P196" s="20"/>
      <x:c r="Q196" s="20"/>
      <x:c r="R196" s="20"/>
      <x:c r="S196" s="20"/>
      <x:c r="T196" s="20"/>
      <x:c r="U196" s="20"/>
      <x:c r="V196" s="20"/>
      <x:c r="W196" s="20"/>
      <x:c r="X196" s="20"/>
      <x:c r="Y196" s="20"/>
      <x:c r="Z196" s="20"/>
    </x:row>
    <x:row r="197">
      <x:c r="A197" s="20"/>
      <x:c r="B197" s="20"/>
      <x:c r="C197" s="20"/>
      <x:c r="D197" s="20"/>
      <x:c r="E197" s="20"/>
      <x:c r="F197" s="20"/>
      <x:c r="G197" s="20"/>
      <x:c r="H197" s="20"/>
      <x:c r="I197" s="20"/>
      <x:c r="J197" s="20"/>
      <x:c r="K197" s="20"/>
      <x:c r="L197" s="20"/>
      <x:c r="M197" s="20"/>
      <x:c r="N197" s="20"/>
      <x:c r="O197" s="20"/>
      <x:c r="P197" s="20"/>
      <x:c r="Q197" s="20"/>
      <x:c r="R197" s="20"/>
      <x:c r="S197" s="20"/>
      <x:c r="T197" s="20"/>
      <x:c r="U197" s="20"/>
      <x:c r="V197" s="20"/>
      <x:c r="W197" s="20"/>
      <x:c r="X197" s="20"/>
      <x:c r="Y197" s="20"/>
      <x:c r="Z197" s="20"/>
    </x:row>
    <x:row r="198">
      <x:c r="A198" s="20"/>
      <x:c r="B198" s="20"/>
      <x:c r="C198" s="20"/>
      <x:c r="D198" s="20"/>
      <x:c r="E198" s="20"/>
      <x:c r="F198" s="20"/>
      <x:c r="G198" s="20"/>
      <x:c r="H198" s="20"/>
      <x:c r="I198" s="20"/>
      <x:c r="J198" s="20"/>
      <x:c r="K198" s="20"/>
      <x:c r="L198" s="20"/>
      <x:c r="M198" s="20"/>
      <x:c r="N198" s="20"/>
      <x:c r="O198" s="20"/>
      <x:c r="P198" s="20"/>
      <x:c r="Q198" s="20"/>
      <x:c r="R198" s="20"/>
      <x:c r="S198" s="20"/>
      <x:c r="T198" s="20"/>
      <x:c r="U198" s="20"/>
      <x:c r="V198" s="20"/>
      <x:c r="W198" s="20"/>
      <x:c r="X198" s="20"/>
      <x:c r="Y198" s="20"/>
      <x:c r="Z198" s="20"/>
    </x:row>
    <x:row r="199">
      <x:c r="A199" s="20"/>
      <x:c r="B199" s="20"/>
      <x:c r="C199" s="20"/>
      <x:c r="D199" s="20"/>
      <x:c r="E199" s="20"/>
      <x:c r="F199" s="20"/>
      <x:c r="G199" s="20"/>
      <x:c r="H199" s="20"/>
      <x:c r="I199" s="20"/>
      <x:c r="J199" s="20"/>
      <x:c r="K199" s="20"/>
      <x:c r="L199" s="20"/>
      <x:c r="M199" s="20"/>
      <x:c r="N199" s="20"/>
      <x:c r="O199" s="20"/>
      <x:c r="P199" s="20"/>
      <x:c r="Q199" s="20"/>
      <x:c r="R199" s="20"/>
      <x:c r="S199" s="20"/>
      <x:c r="T199" s="20"/>
      <x:c r="U199" s="20"/>
      <x:c r="V199" s="20"/>
      <x:c r="W199" s="20"/>
      <x:c r="X199" s="20"/>
      <x:c r="Y199" s="20"/>
      <x:c r="Z199" s="20"/>
    </x:row>
    <x:row r="200">
      <x:c r="A200" s="20"/>
      <x:c r="B200" s="20"/>
      <x:c r="C200" s="20"/>
      <x:c r="D200" s="20"/>
      <x:c r="E200" s="20"/>
      <x:c r="F200" s="20"/>
      <x:c r="G200" s="20"/>
      <x:c r="H200" s="20"/>
      <x:c r="I200" s="20"/>
      <x:c r="J200" s="20"/>
      <x:c r="K200" s="20"/>
      <x:c r="L200" s="20"/>
      <x:c r="M200" s="20"/>
      <x:c r="N200" s="20"/>
      <x:c r="O200" s="20"/>
      <x:c r="P200" s="20"/>
      <x:c r="Q200" s="20"/>
      <x:c r="R200" s="20"/>
      <x:c r="S200" s="20"/>
      <x:c r="T200" s="20"/>
      <x:c r="U200" s="20"/>
      <x:c r="V200" s="20"/>
      <x:c r="W200" s="20"/>
      <x:c r="X200" s="20"/>
      <x:c r="Y200" s="20"/>
      <x:c r="Z200" s="20"/>
    </x:row>
  </x:sheetData>
  <x:pageMargins left="0.7" right="0.7" top="0.75" bottom="0.75" header="0.3" footer="0.3"/>
  <x:tableParts count="1">
    <x:tablePart xmlns:r="http://schemas.openxmlformats.org/officeDocument/2006/relationships" r:id="R151b48caa7d940ea"/>
  </x:tableParts>
</x:worksheet>
</file>

<file path=xl/worksheets/sheet5.xml><?xml version="1.0" encoding="utf-8"?>
<x:worksheet xmlns:x="http://schemas.openxmlformats.org/spreadsheetml/2006/main">
  <x:sheetFormatPr defaultRowHeight="15"/>
  <x:cols>
    <x:col min="1" max="1" width="24" hidden="0" customWidth="1"/>
    <x:col min="2" max="2" width="54" hidden="0" customWidth="1"/>
    <x:col min="3" max="3" width="58" hidden="0" customWidth="1"/>
  </x:cols>
  <x:sheetData>
    <x:row r="1">
      <x:c r="A1" s="6" t="str">
        <x:v>Rule Area</x:v>
      </x:c>
      <x:c r="B1" s="6" t="str">
        <x:v>Locked Rule</x:v>
      </x:c>
      <x:c r="C1" s="6" t="str">
        <x:v>Reason</x:v>
      </x:c>
      <x:c r="D1" s="20"/>
      <x:c r="E1" s="20"/>
      <x:c r="F1" s="20"/>
      <x:c r="G1" s="20"/>
      <x:c r="H1" s="20"/>
      <x:c r="I1" s="20"/>
      <x:c r="J1" s="20"/>
      <x:c r="K1" s="20"/>
      <x:c r="L1" s="20"/>
      <x:c r="M1" s="20"/>
      <x:c r="N1" s="20"/>
      <x:c r="O1" s="20"/>
      <x:c r="P1" s="20"/>
      <x:c r="Q1" s="20"/>
      <x:c r="R1" s="20"/>
      <x:c r="S1" s="20"/>
      <x:c r="T1" s="20"/>
      <x:c r="U1" s="20"/>
      <x:c r="V1" s="20"/>
      <x:c r="W1" s="20"/>
      <x:c r="X1" s="20"/>
      <x:c r="Y1" s="20"/>
      <x:c r="Z1" s="20"/>
    </x:row>
    <x:row r="2">
      <x:c r="A2" s="20" t="str">
        <x:v>Primary sample</x:v>
      </x:c>
      <x:c r="B2" s="20" t="str">
        <x:v>Standard ~1:12 / 6-inch Marvel Legends single figure at the prevailing standard manufacturer MSRP.</x:v>
      </x:c>
      <x:c r="C2" s="20" t="str">
        <x:v>Keeps the consumer product class comparable across 2019–2026.</x:v>
      </x:c>
      <x:c r="D2" s="20"/>
      <x:c r="E2" s="20"/>
      <x:c r="F2" s="20"/>
      <x:c r="G2" s="20"/>
      <x:c r="H2" s="20"/>
      <x:c r="I2" s="20"/>
      <x:c r="J2" s="20"/>
      <x:c r="K2" s="20"/>
      <x:c r="L2" s="20"/>
      <x:c r="M2" s="20"/>
      <x:c r="N2" s="20"/>
      <x:c r="O2" s="20"/>
      <x:c r="P2" s="20"/>
      <x:c r="Q2" s="20"/>
      <x:c r="R2" s="20"/>
      <x:c r="S2" s="20"/>
      <x:c r="T2" s="20"/>
      <x:c r="U2" s="20"/>
      <x:c r="V2" s="20"/>
      <x:c r="W2" s="20"/>
      <x:c r="X2" s="20"/>
      <x:c r="Y2" s="20"/>
      <x:c r="Z2" s="20"/>
    </x:row>
    <x:row r="3">
      <x:c r="A3" s="20" t="str">
        <x:v>Retailer exclusives</x:v>
      </x:c>
      <x:c r="B3" s="20" t="str">
        <x:v>Exclude retailer-exclusive releases from the primary sample.</x:v>
      </x:c>
      <x:c r="C3" s="20" t="str">
        <x:v>Retailer agreements, limited distribution, and retailer-specific price premiums can confound production-cost relationships.</x:v>
      </x:c>
      <x:c r="D3" s="20"/>
      <x:c r="E3" s="20"/>
      <x:c r="F3" s="20"/>
      <x:c r="G3" s="20"/>
      <x:c r="H3" s="20"/>
      <x:c r="I3" s="20"/>
      <x:c r="J3" s="20"/>
      <x:c r="K3" s="20"/>
      <x:c r="L3" s="20"/>
      <x:c r="M3" s="20"/>
      <x:c r="N3" s="20"/>
      <x:c r="O3" s="20"/>
      <x:c r="P3" s="20"/>
      <x:c r="Q3" s="20"/>
      <x:c r="R3" s="20"/>
      <x:c r="S3" s="20"/>
      <x:c r="T3" s="20"/>
      <x:c r="U3" s="20"/>
      <x:c r="V3" s="20"/>
      <x:c r="W3" s="20"/>
      <x:c r="X3" s="20"/>
      <x:c r="Y3" s="20"/>
      <x:c r="Z3" s="20"/>
    </x:row>
    <x:row r="4">
      <x:c r="A4" s="20" t="str">
        <x:v>Oversized / deluxe</x:v>
      </x:c>
      <x:c r="B4" s="20" t="str">
        <x:v>Exclude deluxe, Mega, oversized, and otherwise nonstandard size/price releases.</x:v>
      </x:c>
      <x:c r="C4" s="20" t="str">
        <x:v>They belong to a different physical and pricing class.</x:v>
      </x:c>
      <x:c r="D4" s="20"/>
      <x:c r="E4" s="20"/>
      <x:c r="F4" s="20"/>
      <x:c r="G4" s="20"/>
      <x:c r="H4" s="20"/>
      <x:c r="I4" s="20"/>
      <x:c r="J4" s="20"/>
      <x:c r="K4" s="20"/>
      <x:c r="L4" s="20"/>
      <x:c r="M4" s="20"/>
      <x:c r="N4" s="20"/>
      <x:c r="O4" s="20"/>
      <x:c r="P4" s="20"/>
      <x:c r="Q4" s="20"/>
      <x:c r="R4" s="20"/>
      <x:c r="S4" s="20"/>
      <x:c r="T4" s="20"/>
      <x:c r="U4" s="20"/>
      <x:c r="V4" s="20"/>
      <x:c r="W4" s="20"/>
      <x:c r="X4" s="20"/>
      <x:c r="Y4" s="20"/>
      <x:c r="Z4" s="20"/>
    </x:row>
    <x:row r="5">
      <x:c r="A5" s="20" t="str">
        <x:v>Multipacks / vehicles</x:v>
      </x:c>
      <x:c r="B5" s="20" t="str">
        <x:v>Exclude multipacks, vehicles, boxed sets, and bundled products.</x:v>
      </x:c>
      <x:c r="C5" s="20" t="str">
        <x:v>Their MSRP reflects multiple products or structurally different content.</x:v>
      </x:c>
      <x:c r="D5" s="20"/>
      <x:c r="E5" s="20"/>
      <x:c r="F5" s="20"/>
      <x:c r="G5" s="20"/>
      <x:c r="H5" s="20"/>
      <x:c r="I5" s="20"/>
      <x:c r="J5" s="20"/>
      <x:c r="K5" s="20"/>
      <x:c r="L5" s="20"/>
      <x:c r="M5" s="20"/>
      <x:c r="N5" s="20"/>
      <x:c r="O5" s="20"/>
      <x:c r="P5" s="20"/>
      <x:c r="Q5" s="20"/>
      <x:c r="R5" s="20"/>
      <x:c r="S5" s="20"/>
      <x:c r="T5" s="20"/>
      <x:c r="U5" s="20"/>
      <x:c r="V5" s="20"/>
      <x:c r="W5" s="20"/>
      <x:c r="X5" s="20"/>
      <x:c r="Y5" s="20"/>
      <x:c r="Z5" s="20"/>
    </x:row>
    <x:row r="6">
      <x:c r="A6" s="20" t="str">
        <x:v>Nonstandard price tiers</x:v>
      </x:c>
      <x:c r="B6" s="20" t="str">
        <x:v>Use the prevailing standard-price tier as the objective filter.</x:v>
      </x:c>
      <x:c r="C6" s="20" t="str">
        <x:v>Avoids subjective labels and automatically removes many special-price releases.</x:v>
      </x:c>
      <x:c r="D6" s="20"/>
      <x:c r="E6" s="20"/>
      <x:c r="F6" s="20"/>
      <x:c r="G6" s="20"/>
      <x:c r="H6" s="20"/>
      <x:c r="I6" s="20"/>
      <x:c r="J6" s="20"/>
      <x:c r="K6" s="20"/>
      <x:c r="L6" s="20"/>
      <x:c r="M6" s="20"/>
      <x:c r="N6" s="20"/>
      <x:c r="O6" s="20"/>
      <x:c r="P6" s="20"/>
      <x:c r="Q6" s="20"/>
      <x:c r="R6" s="20"/>
      <x:c r="S6" s="20"/>
      <x:c r="T6" s="20"/>
      <x:c r="U6" s="20"/>
      <x:c r="V6" s="20"/>
      <x:c r="W6" s="20"/>
      <x:c r="X6" s="20"/>
      <x:c r="Y6" s="20"/>
      <x:c r="Z6" s="20"/>
    </x:row>
    <x:row r="7">
      <x:c r="A7" s="20" t="str">
        <x:v>Terminology</x:v>
      </x:c>
      <x:c r="B7" s="20" t="str">
        <x:v>Do not use 'premium format' in the Hasbro / Marvel Legends methodology.</x:v>
      </x:c>
      <x:c r="C7" s="20" t="str">
        <x:v>It is not useful Hasbro terminology for this study and introduces subjective classification.</x:v>
      </x:c>
      <x:c r="D7" s="20"/>
      <x:c r="E7" s="20"/>
      <x:c r="F7" s="20"/>
      <x:c r="G7" s="20"/>
      <x:c r="H7" s="20"/>
      <x:c r="I7" s="20"/>
      <x:c r="J7" s="20"/>
      <x:c r="K7" s="20"/>
      <x:c r="L7" s="20"/>
      <x:c r="M7" s="20"/>
      <x:c r="N7" s="20"/>
      <x:c r="O7" s="20"/>
      <x:c r="P7" s="20"/>
      <x:c r="Q7" s="20"/>
      <x:c r="R7" s="20"/>
      <x:c r="S7" s="20"/>
      <x:c r="T7" s="20"/>
      <x:c r="U7" s="20"/>
      <x:c r="V7" s="20"/>
      <x:c r="W7" s="20"/>
      <x:c r="X7" s="20"/>
      <x:c r="Y7" s="20"/>
      <x:c r="Z7" s="20"/>
    </x:row>
    <x:row r="8">
      <x:c r="A8" s="20" t="str">
        <x:v>BAF waves</x:v>
      </x:c>
      <x:c r="B8" s="20" t="str">
        <x:v>Include individual BAF-wave figures when each figure is sold at the standard MSRP.</x:v>
      </x:c>
      <x:c r="C8" s="20" t="str">
        <x:v>The wave's total acquisition cost is the sum of standard-priced figures, not a separate per-figure price tier.</x:v>
      </x:c>
      <x:c r="D8" s="20"/>
      <x:c r="E8" s="20"/>
      <x:c r="F8" s="20"/>
      <x:c r="G8" s="20"/>
      <x:c r="H8" s="20"/>
      <x:c r="I8" s="20"/>
      <x:c r="J8" s="20"/>
      <x:c r="K8" s="20"/>
      <x:c r="L8" s="20"/>
      <x:c r="M8" s="20"/>
      <x:c r="N8" s="20"/>
      <x:c r="O8" s="20"/>
      <x:c r="P8" s="20"/>
      <x:c r="Q8" s="20"/>
      <x:c r="R8" s="20"/>
      <x:c r="S8" s="20"/>
      <x:c r="T8" s="20"/>
      <x:c r="U8" s="20"/>
      <x:c r="V8" s="20"/>
      <x:c r="W8" s="20"/>
      <x:c r="X8" s="20"/>
      <x:c r="Y8" s="20"/>
      <x:c r="Z8" s="20"/>
    </x:row>
    <x:row r="9">
      <x:c r="A9" s="20" t="str">
        <x:v>BAF cost allocation</x:v>
      </x:c>
      <x:c r="B9" s="20" t="str">
        <x:v>Do not assign the cost of a BAF part to the individual figure carrying that part.</x:v>
      </x:c>
      <x:c r="C9" s="20" t="str">
        <x:v>BAF tooling/material costs are spread across the wave and cannot be reliably allocated to one carrier figure.</x:v>
      </x:c>
      <x:c r="D9" s="20"/>
      <x:c r="E9" s="20"/>
      <x:c r="F9" s="20"/>
      <x:c r="G9" s="20"/>
      <x:c r="H9" s="20"/>
      <x:c r="I9" s="20"/>
      <x:c r="J9" s="20"/>
      <x:c r="K9" s="20"/>
      <x:c r="L9" s="20"/>
      <x:c r="M9" s="20"/>
      <x:c r="N9" s="20"/>
      <x:c r="O9" s="20"/>
      <x:c r="P9" s="20"/>
      <x:c r="Q9" s="20"/>
      <x:c r="R9" s="20"/>
      <x:c r="S9" s="20"/>
      <x:c r="T9" s="20"/>
      <x:c r="U9" s="20"/>
      <x:c r="V9" s="20"/>
      <x:c r="W9" s="20"/>
      <x:c r="X9" s="20"/>
      <x:c r="Y9" s="20"/>
      <x:c r="Z9" s="20"/>
    </x:row>
    <x:row r="10">
      <x:c r="A10" s="20" t="str">
        <x:v>Accessories</x:v>
      </x:c>
      <x:c r="B10" s="20" t="str">
        <x:v>Do not use accessory count as an independent explanatory variable.</x:v>
      </x:c>
      <x:c r="C10" s="20" t="str">
        <x:v>Accessories are inconsistently allocated and their physical costs are already embedded in tooling, materials, paint, assembly, and packaging.</x:v>
      </x:c>
      <x:c r="D10" s="20"/>
      <x:c r="E10" s="20"/>
      <x:c r="F10" s="20"/>
      <x:c r="G10" s="20"/>
      <x:c r="H10" s="20"/>
      <x:c r="I10" s="20"/>
      <x:c r="J10" s="20"/>
      <x:c r="K10" s="20"/>
      <x:c r="L10" s="20"/>
      <x:c r="M10" s="20"/>
      <x:c r="N10" s="20"/>
      <x:c r="O10" s="20"/>
      <x:c r="P10" s="20"/>
      <x:c r="Q10" s="20"/>
      <x:c r="R10" s="20"/>
      <x:c r="S10" s="20"/>
      <x:c r="T10" s="20"/>
      <x:c r="U10" s="20"/>
      <x:c r="V10" s="20"/>
      <x:c r="W10" s="20"/>
      <x:c r="X10" s="20"/>
      <x:c r="Y10" s="20"/>
      <x:c r="Z10" s="20"/>
    </x:row>
    <x:row r="11">
      <x:c r="A11" s="20" t="str">
        <x:v>Production scope</x:v>
      </x:c>
      <x:c r="B11" s="20" t="str">
        <x:v>Prioritize physically relevant inputs and production processes tied to making the figure.</x:v>
      </x:c>
      <x:c r="C11" s="20" t="str">
        <x:v>Matches the paper's intended production-cost focus.</x:v>
      </x:c>
      <x:c r="D11" s="20"/>
      <x:c r="E11" s="20"/>
      <x:c r="F11" s="20"/>
      <x:c r="G11" s="20"/>
      <x:c r="H11" s="20"/>
      <x:c r="I11" s="20"/>
      <x:c r="J11" s="20"/>
      <x:c r="K11" s="20"/>
      <x:c r="L11" s="20"/>
      <x:c r="M11" s="20"/>
      <x:c r="N11" s="20"/>
      <x:c r="O11" s="20"/>
      <x:c r="P11" s="20"/>
      <x:c r="Q11" s="20"/>
      <x:c r="R11" s="20"/>
      <x:c r="S11" s="20"/>
      <x:c r="T11" s="20"/>
      <x:c r="U11" s="20"/>
      <x:c r="V11" s="20"/>
      <x:c r="W11" s="20"/>
      <x:c r="X11" s="20"/>
      <x:c r="Y11" s="20"/>
      <x:c r="Z11" s="20"/>
    </x:row>
    <x:row r="12">
      <x:c r="A12" s="20" t="str">
        <x:v>Shipping / supply chain</x:v>
      </x:c>
      <x:c r="B12" s="20" t="str">
        <x:v>Use production and inbound logistics only; exclude consumer delivery and last-mile shipping.</x:v>
      </x:c>
      <x:c r="C12" s="20" t="str">
        <x:v>The paper studies production-related cost, not customer fulfillment.</x:v>
      </x:c>
      <x:c r="D12" s="20"/>
      <x:c r="E12" s="20"/>
      <x:c r="F12" s="20"/>
      <x:c r="G12" s="20"/>
      <x:c r="H12" s="20"/>
      <x:c r="I12" s="20"/>
      <x:c r="J12" s="20"/>
      <x:c r="K12" s="20"/>
      <x:c r="L12" s="20"/>
      <x:c r="M12" s="20"/>
      <x:c r="N12" s="20"/>
      <x:c r="O12" s="20"/>
      <x:c r="P12" s="20"/>
      <x:c r="Q12" s="20"/>
      <x:c r="R12" s="20"/>
      <x:c r="S12" s="20"/>
      <x:c r="T12" s="20"/>
      <x:c r="U12" s="20"/>
      <x:c r="V12" s="20"/>
      <x:c r="W12" s="20"/>
      <x:c r="X12" s="20"/>
      <x:c r="Y12" s="20"/>
      <x:c r="Z12" s="20"/>
    </x:row>
    <x:row r="13">
      <x:c r="A13" s="20" t="str">
        <x:v>Windowless packaging</x:v>
      </x:c>
      <x:c r="B13" s="20" t="str">
        <x:v>Keep the temporary windowless-packaging regime contextual unless direct cost evidence shows analytical value.</x:v>
      </x:c>
      <x:c r="C13" s="20" t="str">
        <x:v>Avoids over-weighting a short packaging experiment.</x:v>
      </x:c>
      <x:c r="D13" s="20"/>
      <x:c r="E13" s="20"/>
      <x:c r="F13" s="20"/>
      <x:c r="G13" s="20"/>
      <x:c r="H13" s="20"/>
      <x:c r="I13" s="20"/>
      <x:c r="J13" s="20"/>
      <x:c r="K13" s="20"/>
      <x:c r="L13" s="20"/>
      <x:c r="M13" s="20"/>
      <x:c r="N13" s="20"/>
      <x:c r="O13" s="20"/>
      <x:c r="P13" s="20"/>
      <x:c r="Q13" s="20"/>
      <x:c r="R13" s="20"/>
      <x:c r="S13" s="20"/>
      <x:c r="T13" s="20"/>
      <x:c r="U13" s="20"/>
      <x:c r="V13" s="20"/>
      <x:c r="W13" s="20"/>
      <x:c r="X13" s="20"/>
      <x:c r="Y13" s="20"/>
      <x:c r="Z13" s="20"/>
    </x:row>
    <x:row r="14">
      <x:c r="A14" s="20" t="str">
        <x:v>Causal language</x:v>
      </x:c>
      <x:c r="B14" s="20" t="str">
        <x:v>Use 'associated with', 'related to', or 'helps explain variation' unless causal identification is justified.</x:v>
      </x:c>
      <x:c r="C14" s="20" t="str">
        <x:v>Keeps claims proportional to public proxy data.</x:v>
      </x:c>
      <x:c r="D14" s="20"/>
      <x:c r="E14" s="20"/>
      <x:c r="F14" s="20"/>
      <x:c r="G14" s="20"/>
      <x:c r="H14" s="20"/>
      <x:c r="I14" s="20"/>
      <x:c r="J14" s="20"/>
      <x:c r="K14" s="20"/>
      <x:c r="L14" s="20"/>
      <x:c r="M14" s="20"/>
      <x:c r="N14" s="20"/>
      <x:c r="O14" s="20"/>
      <x:c r="P14" s="20"/>
      <x:c r="Q14" s="20"/>
      <x:c r="R14" s="20"/>
      <x:c r="S14" s="20"/>
      <x:c r="T14" s="20"/>
      <x:c r="U14" s="20"/>
      <x:c r="V14" s="20"/>
      <x:c r="W14" s="20"/>
      <x:c r="X14" s="20"/>
      <x:c r="Y14" s="20"/>
      <x:c r="Z14" s="20"/>
    </x:row>
    <x:row r="15">
      <x:c r="A15" s="20" t="str">
        <x:v>Source provenance</x:v>
      </x:c>
      <x:c r="B15" s="20" t="str">
        <x:v>Every statistic and series must carry an exact source, ID/table, date range, URL, and transformation note.</x:v>
      </x:c>
      <x:c r="C15" s="20" t="str">
        <x:v>Supports the user's required appendix and reproducibility.</x:v>
      </x:c>
      <x:c r="D15" s="20"/>
      <x:c r="E15" s="20"/>
      <x:c r="F15" s="20"/>
      <x:c r="G15" s="20"/>
      <x:c r="H15" s="20"/>
      <x:c r="I15" s="20"/>
      <x:c r="J15" s="20"/>
      <x:c r="K15" s="20"/>
      <x:c r="L15" s="20"/>
      <x:c r="M15" s="20"/>
      <x:c r="N15" s="20"/>
      <x:c r="O15" s="20"/>
      <x:c r="P15" s="20"/>
      <x:c r="Q15" s="20"/>
      <x:c r="R15" s="20"/>
      <x:c r="S15" s="20"/>
      <x:c r="T15" s="20"/>
      <x:c r="U15" s="20"/>
      <x:c r="V15" s="20"/>
      <x:c r="W15" s="20"/>
      <x:c r="X15" s="20"/>
      <x:c r="Y15" s="20"/>
      <x:c r="Z15" s="20"/>
    </x:row>
    <x:row r="16">
      <x:c r="A16" s="20" t="str">
        <x:v>Labor proxy</x:v>
      </x:c>
      <x:c r="B16" s="20" t="str">
        <x:v>Use China urban private manufacturing wages as the primary labor proxy; do not label it Hasbro labor cost and do not blend countries without defensible country weights and comparable definitions.</x:v>
      </x:c>
      <x:c r="C16" s="20" t="str">
        <x:v>China was Hasbro's largest contract-manufacturer concentration in 2019, but Hasbro diversified toward Vietnam/India; a China-only series is informative but incomplete.</x:v>
      </x:c>
      <x:c r="D16" s="20"/>
      <x:c r="E16" s="20"/>
      <x:c r="F16" s="20"/>
      <x:c r="G16" s="20"/>
      <x:c r="H16" s="20"/>
      <x:c r="I16" s="20"/>
      <x:c r="J16" s="20"/>
      <x:c r="K16" s="20"/>
      <x:c r="L16" s="20"/>
      <x:c r="M16" s="20"/>
      <x:c r="N16" s="20"/>
      <x:c r="O16" s="20"/>
      <x:c r="P16" s="20"/>
      <x:c r="Q16" s="20"/>
      <x:c r="R16" s="20"/>
      <x:c r="S16" s="20"/>
      <x:c r="T16" s="20"/>
      <x:c r="U16" s="20"/>
      <x:c r="V16" s="20"/>
      <x:c r="W16" s="20"/>
      <x:c r="X16" s="20"/>
      <x:c r="Y16" s="20"/>
      <x:c r="Z16" s="20"/>
    </x:row>
    <x:row r="17">
      <x:c r="A17" s="20" t="str">
        <x:v>Multinational labor</x:v>
      </x:c>
      <x:c r="B17" s="20" t="str">
        <x:v>Compare China, Vietnam, and India as separate manufacturing-labor pressure series normalized to their own 2019-era baseline. Do not combine into one weighted labor index unless defensible country production weights become available.</x:v>
      </x:c>
      <x:c r="C17" s="20" t="str">
        <x:v>This answers whether manufacturing labor generally became more expensive across major toy-producing countries without pretending to reconstruct Hasbro's actual labor bill.</x:v>
      </x:c>
      <x:c r="D17" s="20"/>
      <x:c r="E17" s="20"/>
      <x:c r="F17" s="20"/>
      <x:c r="G17" s="20"/>
      <x:c r="H17" s="20"/>
      <x:c r="I17" s="20"/>
      <x:c r="J17" s="20"/>
      <x:c r="K17" s="20"/>
      <x:c r="L17" s="20"/>
      <x:c r="M17" s="20"/>
      <x:c r="N17" s="20"/>
      <x:c r="O17" s="20"/>
      <x:c r="P17" s="20"/>
      <x:c r="Q17" s="20"/>
      <x:c r="R17" s="20"/>
      <x:c r="S17" s="20"/>
      <x:c r="T17" s="20"/>
      <x:c r="U17" s="20"/>
      <x:c r="V17" s="20"/>
      <x:c r="W17" s="20"/>
      <x:c r="X17" s="20"/>
      <x:c r="Y17" s="20"/>
      <x:c r="Z17" s="20"/>
    </x:row>
    <x:row r="18">
      <x:c r="A18" s="20" t="str">
        <x:v>Thermoplastic plastics / resin</x:v>
      </x:c>
      <x:c r="B18" s="20" t="str">
        <x:v>Use broad thermoplastic plastics/resin market-cost pressure as the core plastics input; do not attempt to reconstruct exact Marvel Legends polymer composition or Hasbro procurement price unless materially better product-line data emerge.</x:v>
      </x:c>
      <x:c r="C18" s="20" t="str">
        <x:v>The analysis needs input-cost movement and economic weight, not a speculative SKU-level bill of materials.</x:v>
      </x:c>
      <x:c r="D18" s="20"/>
      <x:c r="E18" s="20"/>
      <x:c r="F18" s="20"/>
      <x:c r="G18" s="20"/>
      <x:c r="H18" s="20"/>
      <x:c r="I18" s="20"/>
      <x:c r="J18" s="20"/>
      <x:c r="K18" s="20"/>
      <x:c r="L18" s="20"/>
      <x:c r="M18" s="20"/>
      <x:c r="N18" s="20"/>
      <x:c r="O18" s="20"/>
      <x:c r="P18" s="20"/>
      <x:c r="Q18" s="20"/>
      <x:c r="R18" s="20"/>
      <x:c r="S18" s="20"/>
      <x:c r="T18" s="20"/>
      <x:c r="U18" s="20"/>
      <x:c r="V18" s="20"/>
      <x:c r="W18" s="20"/>
      <x:c r="X18" s="20"/>
      <x:c r="Y18" s="20"/>
      <x:c r="Z18" s="20"/>
    </x:row>
    <x:row r="19">
      <x:c r="A19" s="20"/>
      <x:c r="B19" s="20"/>
      <x:c r="C19" s="20"/>
      <x:c r="D19" s="20"/>
      <x:c r="E19" s="20"/>
      <x:c r="F19" s="20"/>
      <x:c r="G19" s="20"/>
      <x:c r="H19" s="20"/>
      <x:c r="I19" s="20"/>
      <x:c r="J19" s="20"/>
      <x:c r="K19" s="20"/>
      <x:c r="L19" s="20"/>
      <x:c r="M19" s="20"/>
      <x:c r="N19" s="20"/>
      <x:c r="O19" s="20"/>
      <x:c r="P19" s="20"/>
      <x:c r="Q19" s="20"/>
      <x:c r="R19" s="20"/>
      <x:c r="S19" s="20"/>
      <x:c r="T19" s="20"/>
      <x:c r="U19" s="20"/>
      <x:c r="V19" s="20"/>
      <x:c r="W19" s="20"/>
      <x:c r="X19" s="20"/>
      <x:c r="Y19" s="20"/>
      <x:c r="Z19" s="20"/>
    </x:row>
    <x:row r="20">
      <x:c r="A20" s="20"/>
      <x:c r="B20" s="20"/>
      <x:c r="C20" s="20"/>
      <x:c r="D20" s="20"/>
      <x:c r="E20" s="20"/>
      <x:c r="F20" s="20"/>
      <x:c r="G20" s="20"/>
      <x:c r="H20" s="20"/>
      <x:c r="I20" s="20"/>
      <x:c r="J20" s="20"/>
      <x:c r="K20" s="20"/>
      <x:c r="L20" s="20"/>
      <x:c r="M20" s="20"/>
      <x:c r="N20" s="20"/>
      <x:c r="O20" s="20"/>
      <x:c r="P20" s="20"/>
      <x:c r="Q20" s="20"/>
      <x:c r="R20" s="20"/>
      <x:c r="S20" s="20"/>
      <x:c r="T20" s="20"/>
      <x:c r="U20" s="20"/>
      <x:c r="V20" s="20"/>
      <x:c r="W20" s="20"/>
      <x:c r="X20" s="20"/>
      <x:c r="Y20" s="20"/>
      <x:c r="Z20" s="20"/>
    </x:row>
    <x:row r="21">
      <x:c r="A21" s="20"/>
      <x:c r="B21" s="20"/>
      <x:c r="C21" s="20"/>
      <x:c r="D21" s="20"/>
      <x:c r="E21" s="20"/>
      <x:c r="F21" s="20"/>
      <x:c r="G21" s="20"/>
      <x:c r="H21" s="20"/>
      <x:c r="I21" s="20"/>
      <x:c r="J21" s="20"/>
      <x:c r="K21" s="20"/>
      <x:c r="L21" s="20"/>
      <x:c r="M21" s="20"/>
      <x:c r="N21" s="20"/>
      <x:c r="O21" s="20"/>
      <x:c r="P21" s="20"/>
      <x:c r="Q21" s="20"/>
      <x:c r="R21" s="20"/>
      <x:c r="S21" s="20"/>
      <x:c r="T21" s="20"/>
      <x:c r="U21" s="20"/>
      <x:c r="V21" s="20"/>
      <x:c r="W21" s="20"/>
      <x:c r="X21" s="20"/>
      <x:c r="Y21" s="20"/>
      <x:c r="Z21" s="20"/>
    </x:row>
    <x:row r="22">
      <x:c r="A22" s="20"/>
      <x:c r="B22" s="20"/>
      <x:c r="C22" s="20"/>
      <x:c r="D22" s="20"/>
      <x:c r="E22" s="20"/>
      <x:c r="F22" s="20"/>
      <x:c r="G22" s="20"/>
      <x:c r="H22" s="20"/>
      <x:c r="I22" s="20"/>
      <x:c r="J22" s="20"/>
      <x:c r="K22" s="20"/>
      <x:c r="L22" s="20"/>
      <x:c r="M22" s="20"/>
      <x:c r="N22" s="20"/>
      <x:c r="O22" s="20"/>
      <x:c r="P22" s="20"/>
      <x:c r="Q22" s="20"/>
      <x:c r="R22" s="20"/>
      <x:c r="S22" s="20"/>
      <x:c r="T22" s="20"/>
      <x:c r="U22" s="20"/>
      <x:c r="V22" s="20"/>
      <x:c r="W22" s="20"/>
      <x:c r="X22" s="20"/>
      <x:c r="Y22" s="20"/>
      <x:c r="Z22" s="20"/>
    </x:row>
    <x:row r="23">
      <x:c r="A23" s="20"/>
      <x:c r="B23" s="20"/>
      <x:c r="C23" s="20"/>
      <x:c r="D23" s="20"/>
      <x:c r="E23" s="20"/>
      <x:c r="F23" s="20"/>
      <x:c r="G23" s="20"/>
      <x:c r="H23" s="20"/>
      <x:c r="I23" s="20"/>
      <x:c r="J23" s="20"/>
      <x:c r="K23" s="20"/>
      <x:c r="L23" s="20"/>
      <x:c r="M23" s="20"/>
      <x:c r="N23" s="20"/>
      <x:c r="O23" s="20"/>
      <x:c r="P23" s="20"/>
      <x:c r="Q23" s="20"/>
      <x:c r="R23" s="20"/>
      <x:c r="S23" s="20"/>
      <x:c r="T23" s="20"/>
      <x:c r="U23" s="20"/>
      <x:c r="V23" s="20"/>
      <x:c r="W23" s="20"/>
      <x:c r="X23" s="20"/>
      <x:c r="Y23" s="20"/>
      <x:c r="Z23" s="20"/>
    </x:row>
    <x:row r="24">
      <x:c r="A24" s="20"/>
      <x:c r="B24" s="20"/>
      <x:c r="C24" s="20"/>
      <x:c r="D24" s="20"/>
      <x:c r="E24" s="20"/>
      <x:c r="F24" s="20"/>
      <x:c r="G24" s="20"/>
      <x:c r="H24" s="20"/>
      <x:c r="I24" s="20"/>
      <x:c r="J24" s="20"/>
      <x:c r="K24" s="20"/>
      <x:c r="L24" s="20"/>
      <x:c r="M24" s="20"/>
      <x:c r="N24" s="20"/>
      <x:c r="O24" s="20"/>
      <x:c r="P24" s="20"/>
      <x:c r="Q24" s="20"/>
      <x:c r="R24" s="20"/>
      <x:c r="S24" s="20"/>
      <x:c r="T24" s="20"/>
      <x:c r="U24" s="20"/>
      <x:c r="V24" s="20"/>
      <x:c r="W24" s="20"/>
      <x:c r="X24" s="20"/>
      <x:c r="Y24" s="20"/>
      <x:c r="Z24" s="20"/>
    </x:row>
    <x:row r="25">
      <x:c r="A25" s="20"/>
      <x:c r="B25" s="20"/>
      <x:c r="C25" s="20"/>
      <x:c r="D25" s="20"/>
      <x:c r="E25" s="20"/>
      <x:c r="F25" s="20"/>
      <x:c r="G25" s="20"/>
      <x:c r="H25" s="20"/>
      <x:c r="I25" s="20"/>
      <x:c r="J25" s="20"/>
      <x:c r="K25" s="20"/>
      <x:c r="L25" s="20"/>
      <x:c r="M25" s="20"/>
      <x:c r="N25" s="20"/>
      <x:c r="O25" s="20"/>
      <x:c r="P25" s="20"/>
      <x:c r="Q25" s="20"/>
      <x:c r="R25" s="20"/>
      <x:c r="S25" s="20"/>
      <x:c r="T25" s="20"/>
      <x:c r="U25" s="20"/>
      <x:c r="V25" s="20"/>
      <x:c r="W25" s="20"/>
      <x:c r="X25" s="20"/>
      <x:c r="Y25" s="20"/>
      <x:c r="Z25" s="20"/>
    </x:row>
    <x:row r="26">
      <x:c r="A26" s="20"/>
      <x:c r="B26" s="20"/>
      <x:c r="C26" s="20"/>
      <x:c r="D26" s="20"/>
      <x:c r="E26" s="20"/>
      <x:c r="F26" s="20"/>
      <x:c r="G26" s="20"/>
      <x:c r="H26" s="20"/>
      <x:c r="I26" s="20"/>
      <x:c r="J26" s="20"/>
      <x:c r="K26" s="20"/>
      <x:c r="L26" s="20"/>
      <x:c r="M26" s="20"/>
      <x:c r="N26" s="20"/>
      <x:c r="O26" s="20"/>
      <x:c r="P26" s="20"/>
      <x:c r="Q26" s="20"/>
      <x:c r="R26" s="20"/>
      <x:c r="S26" s="20"/>
      <x:c r="T26" s="20"/>
      <x:c r="U26" s="20"/>
      <x:c r="V26" s="20"/>
      <x:c r="W26" s="20"/>
      <x:c r="X26" s="20"/>
      <x:c r="Y26" s="20"/>
      <x:c r="Z26" s="20"/>
    </x:row>
    <x:row r="27">
      <x:c r="A27" s="20"/>
      <x:c r="B27" s="20"/>
      <x:c r="C27" s="20"/>
      <x:c r="D27" s="20"/>
      <x:c r="E27" s="20"/>
      <x:c r="F27" s="20"/>
      <x:c r="G27" s="20"/>
      <x:c r="H27" s="20"/>
      <x:c r="I27" s="20"/>
      <x:c r="J27" s="20"/>
      <x:c r="K27" s="20"/>
      <x:c r="L27" s="20"/>
      <x:c r="M27" s="20"/>
      <x:c r="N27" s="20"/>
      <x:c r="O27" s="20"/>
      <x:c r="P27" s="20"/>
      <x:c r="Q27" s="20"/>
      <x:c r="R27" s="20"/>
      <x:c r="S27" s="20"/>
      <x:c r="T27" s="20"/>
      <x:c r="U27" s="20"/>
      <x:c r="V27" s="20"/>
      <x:c r="W27" s="20"/>
      <x:c r="X27" s="20"/>
      <x:c r="Y27" s="20"/>
      <x:c r="Z27" s="20"/>
    </x:row>
    <x:row r="28">
      <x:c r="A28" s="20"/>
      <x:c r="B28" s="20"/>
      <x:c r="C28" s="20"/>
      <x:c r="D28" s="20"/>
      <x:c r="E28" s="20"/>
      <x:c r="F28" s="20"/>
      <x:c r="G28" s="20"/>
      <x:c r="H28" s="20"/>
      <x:c r="I28" s="20"/>
      <x:c r="J28" s="20"/>
      <x:c r="K28" s="20"/>
      <x:c r="L28" s="20"/>
      <x:c r="M28" s="20"/>
      <x:c r="N28" s="20"/>
      <x:c r="O28" s="20"/>
      <x:c r="P28" s="20"/>
      <x:c r="Q28" s="20"/>
      <x:c r="R28" s="20"/>
      <x:c r="S28" s="20"/>
      <x:c r="T28" s="20"/>
      <x:c r="U28" s="20"/>
      <x:c r="V28" s="20"/>
      <x:c r="W28" s="20"/>
      <x:c r="X28" s="20"/>
      <x:c r="Y28" s="20"/>
      <x:c r="Z28" s="20"/>
    </x:row>
    <x:row r="29">
      <x:c r="A29" s="20"/>
      <x:c r="B29" s="20"/>
      <x:c r="C29" s="20"/>
      <x:c r="D29" s="20"/>
      <x:c r="E29" s="20"/>
      <x:c r="F29" s="20"/>
      <x:c r="G29" s="20"/>
      <x:c r="H29" s="20"/>
      <x:c r="I29" s="20"/>
      <x:c r="J29" s="20"/>
      <x:c r="K29" s="20"/>
      <x:c r="L29" s="20"/>
      <x:c r="M29" s="20"/>
      <x:c r="N29" s="20"/>
      <x:c r="O29" s="20"/>
      <x:c r="P29" s="20"/>
      <x:c r="Q29" s="20"/>
      <x:c r="R29" s="20"/>
      <x:c r="S29" s="20"/>
      <x:c r="T29" s="20"/>
      <x:c r="U29" s="20"/>
      <x:c r="V29" s="20"/>
      <x:c r="W29" s="20"/>
      <x:c r="X29" s="20"/>
      <x:c r="Y29" s="20"/>
      <x:c r="Z29" s="20"/>
    </x:row>
    <x:row r="30">
      <x:c r="A30" s="20"/>
      <x:c r="B30" s="20"/>
      <x:c r="C30" s="20"/>
      <x:c r="D30" s="20"/>
      <x:c r="E30" s="20"/>
      <x:c r="F30" s="20"/>
      <x:c r="G30" s="20"/>
      <x:c r="H30" s="20"/>
      <x:c r="I30" s="20"/>
      <x:c r="J30" s="20"/>
      <x:c r="K30" s="20"/>
      <x:c r="L30" s="20"/>
      <x:c r="M30" s="20"/>
      <x:c r="N30" s="20"/>
      <x:c r="O30" s="20"/>
      <x:c r="P30" s="20"/>
      <x:c r="Q30" s="20"/>
      <x:c r="R30" s="20"/>
      <x:c r="S30" s="20"/>
      <x:c r="T30" s="20"/>
      <x:c r="U30" s="20"/>
      <x:c r="V30" s="20"/>
      <x:c r="W30" s="20"/>
      <x:c r="X30" s="20"/>
      <x:c r="Y30" s="20"/>
      <x:c r="Z30" s="20"/>
    </x:row>
    <x:row r="31">
      <x:c r="A31" s="20"/>
      <x:c r="B31" s="20"/>
      <x:c r="C31" s="20"/>
      <x:c r="D31" s="20"/>
      <x:c r="E31" s="20"/>
      <x:c r="F31" s="20"/>
      <x:c r="G31" s="20"/>
      <x:c r="H31" s="20"/>
      <x:c r="I31" s="20"/>
      <x:c r="J31" s="20"/>
      <x:c r="K31" s="20"/>
      <x:c r="L31" s="20"/>
      <x:c r="M31" s="20"/>
      <x:c r="N31" s="20"/>
      <x:c r="O31" s="20"/>
      <x:c r="P31" s="20"/>
      <x:c r="Q31" s="20"/>
      <x:c r="R31" s="20"/>
      <x:c r="S31" s="20"/>
      <x:c r="T31" s="20"/>
      <x:c r="U31" s="20"/>
      <x:c r="V31" s="20"/>
      <x:c r="W31" s="20"/>
      <x:c r="X31" s="20"/>
      <x:c r="Y31" s="20"/>
      <x:c r="Z31" s="20"/>
    </x:row>
    <x:row r="32">
      <x:c r="A32" s="20"/>
      <x:c r="B32" s="20"/>
      <x:c r="C32" s="20"/>
      <x:c r="D32" s="20"/>
      <x:c r="E32" s="20"/>
      <x:c r="F32" s="20"/>
      <x:c r="G32" s="20"/>
      <x:c r="H32" s="20"/>
      <x:c r="I32" s="20"/>
      <x:c r="J32" s="20"/>
      <x:c r="K32" s="20"/>
      <x:c r="L32" s="20"/>
      <x:c r="M32" s="20"/>
      <x:c r="N32" s="20"/>
      <x:c r="O32" s="20"/>
      <x:c r="P32" s="20"/>
      <x:c r="Q32" s="20"/>
      <x:c r="R32" s="20"/>
      <x:c r="S32" s="20"/>
      <x:c r="T32" s="20"/>
      <x:c r="U32" s="20"/>
      <x:c r="V32" s="20"/>
      <x:c r="W32" s="20"/>
      <x:c r="X32" s="20"/>
      <x:c r="Y32" s="20"/>
      <x:c r="Z32" s="20"/>
    </x:row>
    <x:row r="33">
      <x:c r="A33" s="20"/>
      <x:c r="B33" s="20"/>
      <x:c r="C33" s="20"/>
      <x:c r="D33" s="20"/>
      <x:c r="E33" s="20"/>
      <x:c r="F33" s="20"/>
      <x:c r="G33" s="20"/>
      <x:c r="H33" s="20"/>
      <x:c r="I33" s="20"/>
      <x:c r="J33" s="20"/>
      <x:c r="K33" s="20"/>
      <x:c r="L33" s="20"/>
      <x:c r="M33" s="20"/>
      <x:c r="N33" s="20"/>
      <x:c r="O33" s="20"/>
      <x:c r="P33" s="20"/>
      <x:c r="Q33" s="20"/>
      <x:c r="R33" s="20"/>
      <x:c r="S33" s="20"/>
      <x:c r="T33" s="20"/>
      <x:c r="U33" s="20"/>
      <x:c r="V33" s="20"/>
      <x:c r="W33" s="20"/>
      <x:c r="X33" s="20"/>
      <x:c r="Y33" s="20"/>
      <x:c r="Z33" s="20"/>
    </x:row>
    <x:row r="34">
      <x:c r="A34" s="20"/>
      <x:c r="B34" s="20"/>
      <x:c r="C34" s="20"/>
      <x:c r="D34" s="20"/>
      <x:c r="E34" s="20"/>
      <x:c r="F34" s="20"/>
      <x:c r="G34" s="20"/>
      <x:c r="H34" s="20"/>
      <x:c r="I34" s="20"/>
      <x:c r="J34" s="20"/>
      <x:c r="K34" s="20"/>
      <x:c r="L34" s="20"/>
      <x:c r="M34" s="20"/>
      <x:c r="N34" s="20"/>
      <x:c r="O34" s="20"/>
      <x:c r="P34" s="20"/>
      <x:c r="Q34" s="20"/>
      <x:c r="R34" s="20"/>
      <x:c r="S34" s="20"/>
      <x:c r="T34" s="20"/>
      <x:c r="U34" s="20"/>
      <x:c r="V34" s="20"/>
      <x:c r="W34" s="20"/>
      <x:c r="X34" s="20"/>
      <x:c r="Y34" s="20"/>
      <x:c r="Z34" s="20"/>
    </x:row>
    <x:row r="35">
      <x:c r="A35" s="20"/>
      <x:c r="B35" s="20"/>
      <x:c r="C35" s="20"/>
      <x:c r="D35" s="20"/>
      <x:c r="E35" s="20"/>
      <x:c r="F35" s="20"/>
      <x:c r="G35" s="20"/>
      <x:c r="H35" s="20"/>
      <x:c r="I35" s="20"/>
      <x:c r="J35" s="20"/>
      <x:c r="K35" s="20"/>
      <x:c r="L35" s="20"/>
      <x:c r="M35" s="20"/>
      <x:c r="N35" s="20"/>
      <x:c r="O35" s="20"/>
      <x:c r="P35" s="20"/>
      <x:c r="Q35" s="20"/>
      <x:c r="R35" s="20"/>
      <x:c r="S35" s="20"/>
      <x:c r="T35" s="20"/>
      <x:c r="U35" s="20"/>
      <x:c r="V35" s="20"/>
      <x:c r="W35" s="20"/>
      <x:c r="X35" s="20"/>
      <x:c r="Y35" s="20"/>
      <x:c r="Z35" s="20"/>
    </x:row>
    <x:row r="36">
      <x:c r="A36" s="20"/>
      <x:c r="B36" s="20"/>
      <x:c r="C36" s="20"/>
      <x:c r="D36" s="20"/>
      <x:c r="E36" s="20"/>
      <x:c r="F36" s="20"/>
      <x:c r="G36" s="20"/>
      <x:c r="H36" s="20"/>
      <x:c r="I36" s="20"/>
      <x:c r="J36" s="20"/>
      <x:c r="K36" s="20"/>
      <x:c r="L36" s="20"/>
      <x:c r="M36" s="20"/>
      <x:c r="N36" s="20"/>
      <x:c r="O36" s="20"/>
      <x:c r="P36" s="20"/>
      <x:c r="Q36" s="20"/>
      <x:c r="R36" s="20"/>
      <x:c r="S36" s="20"/>
      <x:c r="T36" s="20"/>
      <x:c r="U36" s="20"/>
      <x:c r="V36" s="20"/>
      <x:c r="W36" s="20"/>
      <x:c r="X36" s="20"/>
      <x:c r="Y36" s="20"/>
      <x:c r="Z36" s="20"/>
    </x:row>
    <x:row r="37">
      <x:c r="A37" s="20"/>
      <x:c r="B37" s="20"/>
      <x:c r="C37" s="20"/>
      <x:c r="D37" s="20"/>
      <x:c r="E37" s="20"/>
      <x:c r="F37" s="20"/>
      <x:c r="G37" s="20"/>
      <x:c r="H37" s="20"/>
      <x:c r="I37" s="20"/>
      <x:c r="J37" s="20"/>
      <x:c r="K37" s="20"/>
      <x:c r="L37" s="20"/>
      <x:c r="M37" s="20"/>
      <x:c r="N37" s="20"/>
      <x:c r="O37" s="20"/>
      <x:c r="P37" s="20"/>
      <x:c r="Q37" s="20"/>
      <x:c r="R37" s="20"/>
      <x:c r="S37" s="20"/>
      <x:c r="T37" s="20"/>
      <x:c r="U37" s="20"/>
      <x:c r="V37" s="20"/>
      <x:c r="W37" s="20"/>
      <x:c r="X37" s="20"/>
      <x:c r="Y37" s="20"/>
      <x:c r="Z37" s="20"/>
    </x:row>
    <x:row r="38">
      <x:c r="A38" s="20"/>
      <x:c r="B38" s="20"/>
      <x:c r="C38" s="20"/>
      <x:c r="D38" s="20"/>
      <x:c r="E38" s="20"/>
      <x:c r="F38" s="20"/>
      <x:c r="G38" s="20"/>
      <x:c r="H38" s="20"/>
      <x:c r="I38" s="20"/>
      <x:c r="J38" s="20"/>
      <x:c r="K38" s="20"/>
      <x:c r="L38" s="20"/>
      <x:c r="M38" s="20"/>
      <x:c r="N38" s="20"/>
      <x:c r="O38" s="20"/>
      <x:c r="P38" s="20"/>
      <x:c r="Q38" s="20"/>
      <x:c r="R38" s="20"/>
      <x:c r="S38" s="20"/>
      <x:c r="T38" s="20"/>
      <x:c r="U38" s="20"/>
      <x:c r="V38" s="20"/>
      <x:c r="W38" s="20"/>
      <x:c r="X38" s="20"/>
      <x:c r="Y38" s="20"/>
      <x:c r="Z38" s="20"/>
    </x:row>
    <x:row r="39">
      <x:c r="A39" s="20"/>
      <x:c r="B39" s="20"/>
      <x:c r="C39" s="20"/>
      <x:c r="D39" s="20"/>
      <x:c r="E39" s="20"/>
      <x:c r="F39" s="20"/>
      <x:c r="G39" s="20"/>
      <x:c r="H39" s="20"/>
      <x:c r="I39" s="20"/>
      <x:c r="J39" s="20"/>
      <x:c r="K39" s="20"/>
      <x:c r="L39" s="20"/>
      <x:c r="M39" s="20"/>
      <x:c r="N39" s="20"/>
      <x:c r="O39" s="20"/>
      <x:c r="P39" s="20"/>
      <x:c r="Q39" s="20"/>
      <x:c r="R39" s="20"/>
      <x:c r="S39" s="20"/>
      <x:c r="T39" s="20"/>
      <x:c r="U39" s="20"/>
      <x:c r="V39" s="20"/>
      <x:c r="W39" s="20"/>
      <x:c r="X39" s="20"/>
      <x:c r="Y39" s="20"/>
      <x:c r="Z39" s="20"/>
    </x:row>
    <x:row r="40">
      <x:c r="A40" s="20"/>
      <x:c r="B40" s="20"/>
      <x:c r="C40" s="20"/>
      <x:c r="D40" s="20"/>
      <x:c r="E40" s="20"/>
      <x:c r="F40" s="20"/>
      <x:c r="G40" s="20"/>
      <x:c r="H40" s="20"/>
      <x:c r="I40" s="20"/>
      <x:c r="J40" s="20"/>
      <x:c r="K40" s="20"/>
      <x:c r="L40" s="20"/>
      <x:c r="M40" s="20"/>
      <x:c r="N40" s="20"/>
      <x:c r="O40" s="20"/>
      <x:c r="P40" s="20"/>
      <x:c r="Q40" s="20"/>
      <x:c r="R40" s="20"/>
      <x:c r="S40" s="20"/>
      <x:c r="T40" s="20"/>
      <x:c r="U40" s="20"/>
      <x:c r="V40" s="20"/>
      <x:c r="W40" s="20"/>
      <x:c r="X40" s="20"/>
      <x:c r="Y40" s="20"/>
      <x:c r="Z40" s="20"/>
    </x:row>
    <x:row r="41">
      <x:c r="A41" s="20"/>
      <x:c r="B41" s="20"/>
      <x:c r="C41" s="20"/>
      <x:c r="D41" s="20"/>
      <x:c r="E41" s="20"/>
      <x:c r="F41" s="20"/>
      <x:c r="G41" s="20"/>
      <x:c r="H41" s="20"/>
      <x:c r="I41" s="20"/>
      <x:c r="J41" s="20"/>
      <x:c r="K41" s="20"/>
      <x:c r="L41" s="20"/>
      <x:c r="M41" s="20"/>
      <x:c r="N41" s="20"/>
      <x:c r="O41" s="20"/>
      <x:c r="P41" s="20"/>
      <x:c r="Q41" s="20"/>
      <x:c r="R41" s="20"/>
      <x:c r="S41" s="20"/>
      <x:c r="T41" s="20"/>
      <x:c r="U41" s="20"/>
      <x:c r="V41" s="20"/>
      <x:c r="W41" s="20"/>
      <x:c r="X41" s="20"/>
      <x:c r="Y41" s="20"/>
      <x:c r="Z41" s="20"/>
    </x:row>
    <x:row r="42">
      <x:c r="A42" s="20"/>
      <x:c r="B42" s="20"/>
      <x:c r="C42" s="20"/>
      <x:c r="D42" s="20"/>
      <x:c r="E42" s="20"/>
      <x:c r="F42" s="20"/>
      <x:c r="G42" s="20"/>
      <x:c r="H42" s="20"/>
      <x:c r="I42" s="20"/>
      <x:c r="J42" s="20"/>
      <x:c r="K42" s="20"/>
      <x:c r="L42" s="20"/>
      <x:c r="M42" s="20"/>
      <x:c r="N42" s="20"/>
      <x:c r="O42" s="20"/>
      <x:c r="P42" s="20"/>
      <x:c r="Q42" s="20"/>
      <x:c r="R42" s="20"/>
      <x:c r="S42" s="20"/>
      <x:c r="T42" s="20"/>
      <x:c r="U42" s="20"/>
      <x:c r="V42" s="20"/>
      <x:c r="W42" s="20"/>
      <x:c r="X42" s="20"/>
      <x:c r="Y42" s="20"/>
      <x:c r="Z42" s="20"/>
    </x:row>
    <x:row r="43">
      <x:c r="A43" s="20"/>
      <x:c r="B43" s="20"/>
      <x:c r="C43" s="20"/>
      <x:c r="D43" s="20"/>
      <x:c r="E43" s="20"/>
      <x:c r="F43" s="20"/>
      <x:c r="G43" s="20"/>
      <x:c r="H43" s="20"/>
      <x:c r="I43" s="20"/>
      <x:c r="J43" s="20"/>
      <x:c r="K43" s="20"/>
      <x:c r="L43" s="20"/>
      <x:c r="M43" s="20"/>
      <x:c r="N43" s="20"/>
      <x:c r="O43" s="20"/>
      <x:c r="P43" s="20"/>
      <x:c r="Q43" s="20"/>
      <x:c r="R43" s="20"/>
      <x:c r="S43" s="20"/>
      <x:c r="T43" s="20"/>
      <x:c r="U43" s="20"/>
      <x:c r="V43" s="20"/>
      <x:c r="W43" s="20"/>
      <x:c r="X43" s="20"/>
      <x:c r="Y43" s="20"/>
      <x:c r="Z43" s="20"/>
    </x:row>
    <x:row r="44">
      <x:c r="A44" s="20"/>
      <x:c r="B44" s="20"/>
      <x:c r="C44" s="20"/>
      <x:c r="D44" s="20"/>
      <x:c r="E44" s="20"/>
      <x:c r="F44" s="20"/>
      <x:c r="G44" s="20"/>
      <x:c r="H44" s="20"/>
      <x:c r="I44" s="20"/>
      <x:c r="J44" s="20"/>
      <x:c r="K44" s="20"/>
      <x:c r="L44" s="20"/>
      <x:c r="M44" s="20"/>
      <x:c r="N44" s="20"/>
      <x:c r="O44" s="20"/>
      <x:c r="P44" s="20"/>
      <x:c r="Q44" s="20"/>
      <x:c r="R44" s="20"/>
      <x:c r="S44" s="20"/>
      <x:c r="T44" s="20"/>
      <x:c r="U44" s="20"/>
      <x:c r="V44" s="20"/>
      <x:c r="W44" s="20"/>
      <x:c r="X44" s="20"/>
      <x:c r="Y44" s="20"/>
      <x:c r="Z44" s="20"/>
    </x:row>
    <x:row r="45">
      <x:c r="A45" s="20"/>
      <x:c r="B45" s="20"/>
      <x:c r="C45" s="20"/>
      <x:c r="D45" s="20"/>
      <x:c r="E45" s="20"/>
      <x:c r="F45" s="20"/>
      <x:c r="G45" s="20"/>
      <x:c r="H45" s="20"/>
      <x:c r="I45" s="20"/>
      <x:c r="J45" s="20"/>
      <x:c r="K45" s="20"/>
      <x:c r="L45" s="20"/>
      <x:c r="M45" s="20"/>
      <x:c r="N45" s="20"/>
      <x:c r="O45" s="20"/>
      <x:c r="P45" s="20"/>
      <x:c r="Q45" s="20"/>
      <x:c r="R45" s="20"/>
      <x:c r="S45" s="20"/>
      <x:c r="T45" s="20"/>
      <x:c r="U45" s="20"/>
      <x:c r="V45" s="20"/>
      <x:c r="W45" s="20"/>
      <x:c r="X45" s="20"/>
      <x:c r="Y45" s="20"/>
      <x:c r="Z45" s="20"/>
    </x:row>
    <x:row r="46">
      <x:c r="A46" s="20"/>
      <x:c r="B46" s="20"/>
      <x:c r="C46" s="20"/>
      <x:c r="D46" s="20"/>
      <x:c r="E46" s="20"/>
      <x:c r="F46" s="20"/>
      <x:c r="G46" s="20"/>
      <x:c r="H46" s="20"/>
      <x:c r="I46" s="20"/>
      <x:c r="J46" s="20"/>
      <x:c r="K46" s="20"/>
      <x:c r="L46" s="20"/>
      <x:c r="M46" s="20"/>
      <x:c r="N46" s="20"/>
      <x:c r="O46" s="20"/>
      <x:c r="P46" s="20"/>
      <x:c r="Q46" s="20"/>
      <x:c r="R46" s="20"/>
      <x:c r="S46" s="20"/>
      <x:c r="T46" s="20"/>
      <x:c r="U46" s="20"/>
      <x:c r="V46" s="20"/>
      <x:c r="W46" s="20"/>
      <x:c r="X46" s="20"/>
      <x:c r="Y46" s="20"/>
      <x:c r="Z46" s="20"/>
    </x:row>
    <x:row r="47">
      <x:c r="A47" s="20"/>
      <x:c r="B47" s="20"/>
      <x:c r="C47" s="20"/>
      <x:c r="D47" s="20"/>
      <x:c r="E47" s="20"/>
      <x:c r="F47" s="20"/>
      <x:c r="G47" s="20"/>
      <x:c r="H47" s="20"/>
      <x:c r="I47" s="20"/>
      <x:c r="J47" s="20"/>
      <x:c r="K47" s="20"/>
      <x:c r="L47" s="20"/>
      <x:c r="M47" s="20"/>
      <x:c r="N47" s="20"/>
      <x:c r="O47" s="20"/>
      <x:c r="P47" s="20"/>
      <x:c r="Q47" s="20"/>
      <x:c r="R47" s="20"/>
      <x:c r="S47" s="20"/>
      <x:c r="T47" s="20"/>
      <x:c r="U47" s="20"/>
      <x:c r="V47" s="20"/>
      <x:c r="W47" s="20"/>
      <x:c r="X47" s="20"/>
      <x:c r="Y47" s="20"/>
      <x:c r="Z47" s="20"/>
    </x:row>
    <x:row r="48">
      <x:c r="A48" s="20"/>
      <x:c r="B48" s="20"/>
      <x:c r="C48" s="20"/>
      <x:c r="D48" s="20"/>
      <x:c r="E48" s="20"/>
      <x:c r="F48" s="20"/>
      <x:c r="G48" s="20"/>
      <x:c r="H48" s="20"/>
      <x:c r="I48" s="20"/>
      <x:c r="J48" s="20"/>
      <x:c r="K48" s="20"/>
      <x:c r="L48" s="20"/>
      <x:c r="M48" s="20"/>
      <x:c r="N48" s="20"/>
      <x:c r="O48" s="20"/>
      <x:c r="P48" s="20"/>
      <x:c r="Q48" s="20"/>
      <x:c r="R48" s="20"/>
      <x:c r="S48" s="20"/>
      <x:c r="T48" s="20"/>
      <x:c r="U48" s="20"/>
      <x:c r="V48" s="20"/>
      <x:c r="W48" s="20"/>
      <x:c r="X48" s="20"/>
      <x:c r="Y48" s="20"/>
      <x:c r="Z48" s="20"/>
    </x:row>
    <x:row r="49">
      <x:c r="A49" s="20"/>
      <x:c r="B49" s="20"/>
      <x:c r="C49" s="20"/>
      <x:c r="D49" s="20"/>
      <x:c r="E49" s="20"/>
      <x:c r="F49" s="20"/>
      <x:c r="G49" s="20"/>
      <x:c r="H49" s="20"/>
      <x:c r="I49" s="20"/>
      <x:c r="J49" s="20"/>
      <x:c r="K49" s="20"/>
      <x:c r="L49" s="20"/>
      <x:c r="M49" s="20"/>
      <x:c r="N49" s="20"/>
      <x:c r="O49" s="20"/>
      <x:c r="P49" s="20"/>
      <x:c r="Q49" s="20"/>
      <x:c r="R49" s="20"/>
      <x:c r="S49" s="20"/>
      <x:c r="T49" s="20"/>
      <x:c r="U49" s="20"/>
      <x:c r="V49" s="20"/>
      <x:c r="W49" s="20"/>
      <x:c r="X49" s="20"/>
      <x:c r="Y49" s="20"/>
      <x:c r="Z49" s="20"/>
    </x:row>
    <x:row r="50">
      <x:c r="A50" s="20"/>
      <x:c r="B50" s="20"/>
      <x:c r="C50" s="20"/>
      <x:c r="D50" s="20"/>
      <x:c r="E50" s="20"/>
      <x:c r="F50" s="20"/>
      <x:c r="G50" s="20"/>
      <x:c r="H50" s="20"/>
      <x:c r="I50" s="20"/>
      <x:c r="J50" s="20"/>
      <x:c r="K50" s="20"/>
      <x:c r="L50" s="20"/>
      <x:c r="M50" s="20"/>
      <x:c r="N50" s="20"/>
      <x:c r="O50" s="20"/>
      <x:c r="P50" s="20"/>
      <x:c r="Q50" s="20"/>
      <x:c r="R50" s="20"/>
      <x:c r="S50" s="20"/>
      <x:c r="T50" s="20"/>
      <x:c r="U50" s="20"/>
      <x:c r="V50" s="20"/>
      <x:c r="W50" s="20"/>
      <x:c r="X50" s="20"/>
      <x:c r="Y50" s="20"/>
      <x:c r="Z50" s="20"/>
    </x:row>
    <x:row r="51">
      <x:c r="A51" s="20"/>
      <x:c r="B51" s="20"/>
      <x:c r="C51" s="20"/>
      <x:c r="D51" s="20"/>
      <x:c r="E51" s="20"/>
      <x:c r="F51" s="20"/>
      <x:c r="G51" s="20"/>
      <x:c r="H51" s="20"/>
      <x:c r="I51" s="20"/>
      <x:c r="J51" s="20"/>
      <x:c r="K51" s="20"/>
      <x:c r="L51" s="20"/>
      <x:c r="M51" s="20"/>
      <x:c r="N51" s="20"/>
      <x:c r="O51" s="20"/>
      <x:c r="P51" s="20"/>
      <x:c r="Q51" s="20"/>
      <x:c r="R51" s="20"/>
      <x:c r="S51" s="20"/>
      <x:c r="T51" s="20"/>
      <x:c r="U51" s="20"/>
      <x:c r="V51" s="20"/>
      <x:c r="W51" s="20"/>
      <x:c r="X51" s="20"/>
      <x:c r="Y51" s="20"/>
      <x:c r="Z51" s="20"/>
    </x:row>
    <x:row r="52">
      <x:c r="A52" s="20"/>
      <x:c r="B52" s="20"/>
      <x:c r="C52" s="20"/>
      <x:c r="D52" s="20"/>
      <x:c r="E52" s="20"/>
      <x:c r="F52" s="20"/>
      <x:c r="G52" s="20"/>
      <x:c r="H52" s="20"/>
      <x:c r="I52" s="20"/>
      <x:c r="J52" s="20"/>
      <x:c r="K52" s="20"/>
      <x:c r="L52" s="20"/>
      <x:c r="M52" s="20"/>
      <x:c r="N52" s="20"/>
      <x:c r="O52" s="20"/>
      <x:c r="P52" s="20"/>
      <x:c r="Q52" s="20"/>
      <x:c r="R52" s="20"/>
      <x:c r="S52" s="20"/>
      <x:c r="T52" s="20"/>
      <x:c r="U52" s="20"/>
      <x:c r="V52" s="20"/>
      <x:c r="W52" s="20"/>
      <x:c r="X52" s="20"/>
      <x:c r="Y52" s="20"/>
      <x:c r="Z52" s="20"/>
    </x:row>
    <x:row r="53">
      <x:c r="A53" s="20"/>
      <x:c r="B53" s="20"/>
      <x:c r="C53" s="20"/>
      <x:c r="D53" s="20"/>
      <x:c r="E53" s="20"/>
      <x:c r="F53" s="20"/>
      <x:c r="G53" s="20"/>
      <x:c r="H53" s="20"/>
      <x:c r="I53" s="20"/>
      <x:c r="J53" s="20"/>
      <x:c r="K53" s="20"/>
      <x:c r="L53" s="20"/>
      <x:c r="M53" s="20"/>
      <x:c r="N53" s="20"/>
      <x:c r="O53" s="20"/>
      <x:c r="P53" s="20"/>
      <x:c r="Q53" s="20"/>
      <x:c r="R53" s="20"/>
      <x:c r="S53" s="20"/>
      <x:c r="T53" s="20"/>
      <x:c r="U53" s="20"/>
      <x:c r="V53" s="20"/>
      <x:c r="W53" s="20"/>
      <x:c r="X53" s="20"/>
      <x:c r="Y53" s="20"/>
      <x:c r="Z53" s="20"/>
    </x:row>
    <x:row r="54">
      <x:c r="A54" s="20"/>
      <x:c r="B54" s="20"/>
      <x:c r="C54" s="20"/>
      <x:c r="D54" s="20"/>
      <x:c r="E54" s="20"/>
      <x:c r="F54" s="20"/>
      <x:c r="G54" s="20"/>
      <x:c r="H54" s="20"/>
      <x:c r="I54" s="20"/>
      <x:c r="J54" s="20"/>
      <x:c r="K54" s="20"/>
      <x:c r="L54" s="20"/>
      <x:c r="M54" s="20"/>
      <x:c r="N54" s="20"/>
      <x:c r="O54" s="20"/>
      <x:c r="P54" s="20"/>
      <x:c r="Q54" s="20"/>
      <x:c r="R54" s="20"/>
      <x:c r="S54" s="20"/>
      <x:c r="T54" s="20"/>
      <x:c r="U54" s="20"/>
      <x:c r="V54" s="20"/>
      <x:c r="W54" s="20"/>
      <x:c r="X54" s="20"/>
      <x:c r="Y54" s="20"/>
      <x:c r="Z54" s="20"/>
    </x:row>
    <x:row r="55">
      <x:c r="A55" s="20"/>
      <x:c r="B55" s="20"/>
      <x:c r="C55" s="20"/>
      <x:c r="D55" s="20"/>
      <x:c r="E55" s="20"/>
      <x:c r="F55" s="20"/>
      <x:c r="G55" s="20"/>
      <x:c r="H55" s="20"/>
      <x:c r="I55" s="20"/>
      <x:c r="J55" s="20"/>
      <x:c r="K55" s="20"/>
      <x:c r="L55" s="20"/>
      <x:c r="M55" s="20"/>
      <x:c r="N55" s="20"/>
      <x:c r="O55" s="20"/>
      <x:c r="P55" s="20"/>
      <x:c r="Q55" s="20"/>
      <x:c r="R55" s="20"/>
      <x:c r="S55" s="20"/>
      <x:c r="T55" s="20"/>
      <x:c r="U55" s="20"/>
      <x:c r="V55" s="20"/>
      <x:c r="W55" s="20"/>
      <x:c r="X55" s="20"/>
      <x:c r="Y55" s="20"/>
      <x:c r="Z55" s="20"/>
    </x:row>
    <x:row r="56">
      <x:c r="A56" s="20"/>
      <x:c r="B56" s="20"/>
      <x:c r="C56" s="20"/>
      <x:c r="D56" s="20"/>
      <x:c r="E56" s="20"/>
      <x:c r="F56" s="20"/>
      <x:c r="G56" s="20"/>
      <x:c r="H56" s="20"/>
      <x:c r="I56" s="20"/>
      <x:c r="J56" s="20"/>
      <x:c r="K56" s="20"/>
      <x:c r="L56" s="20"/>
      <x:c r="M56" s="20"/>
      <x:c r="N56" s="20"/>
      <x:c r="O56" s="20"/>
      <x:c r="P56" s="20"/>
      <x:c r="Q56" s="20"/>
      <x:c r="R56" s="20"/>
      <x:c r="S56" s="20"/>
      <x:c r="T56" s="20"/>
      <x:c r="U56" s="20"/>
      <x:c r="V56" s="20"/>
      <x:c r="W56" s="20"/>
      <x:c r="X56" s="20"/>
      <x:c r="Y56" s="20"/>
      <x:c r="Z56" s="20"/>
    </x:row>
    <x:row r="57">
      <x:c r="A57" s="20"/>
      <x:c r="B57" s="20"/>
      <x:c r="C57" s="20"/>
      <x:c r="D57" s="20"/>
      <x:c r="E57" s="20"/>
      <x:c r="F57" s="20"/>
      <x:c r="G57" s="20"/>
      <x:c r="H57" s="20"/>
      <x:c r="I57" s="20"/>
      <x:c r="J57" s="20"/>
      <x:c r="K57" s="20"/>
      <x:c r="L57" s="20"/>
      <x:c r="M57" s="20"/>
      <x:c r="N57" s="20"/>
      <x:c r="O57" s="20"/>
      <x:c r="P57" s="20"/>
      <x:c r="Q57" s="20"/>
      <x:c r="R57" s="20"/>
      <x:c r="S57" s="20"/>
      <x:c r="T57" s="20"/>
      <x:c r="U57" s="20"/>
      <x:c r="V57" s="20"/>
      <x:c r="W57" s="20"/>
      <x:c r="X57" s="20"/>
      <x:c r="Y57" s="20"/>
      <x:c r="Z57" s="20"/>
    </x:row>
    <x:row r="58">
      <x:c r="A58" s="20"/>
      <x:c r="B58" s="20"/>
      <x:c r="C58" s="20"/>
      <x:c r="D58" s="20"/>
      <x:c r="E58" s="20"/>
      <x:c r="F58" s="20"/>
      <x:c r="G58" s="20"/>
      <x:c r="H58" s="20"/>
      <x:c r="I58" s="20"/>
      <x:c r="J58" s="20"/>
      <x:c r="K58" s="20"/>
      <x:c r="L58" s="20"/>
      <x:c r="M58" s="20"/>
      <x:c r="N58" s="20"/>
      <x:c r="O58" s="20"/>
      <x:c r="P58" s="20"/>
      <x:c r="Q58" s="20"/>
      <x:c r="R58" s="20"/>
      <x:c r="S58" s="20"/>
      <x:c r="T58" s="20"/>
      <x:c r="U58" s="20"/>
      <x:c r="V58" s="20"/>
      <x:c r="W58" s="20"/>
      <x:c r="X58" s="20"/>
      <x:c r="Y58" s="20"/>
      <x:c r="Z58" s="20"/>
    </x:row>
    <x:row r="59">
      <x:c r="A59" s="20"/>
      <x:c r="B59" s="20"/>
      <x:c r="C59" s="20"/>
      <x:c r="D59" s="20"/>
      <x:c r="E59" s="20"/>
      <x:c r="F59" s="20"/>
      <x:c r="G59" s="20"/>
      <x:c r="H59" s="20"/>
      <x:c r="I59" s="20"/>
      <x:c r="J59" s="20"/>
      <x:c r="K59" s="20"/>
      <x:c r="L59" s="20"/>
      <x:c r="M59" s="20"/>
      <x:c r="N59" s="20"/>
      <x:c r="O59" s="20"/>
      <x:c r="P59" s="20"/>
      <x:c r="Q59" s="20"/>
      <x:c r="R59" s="20"/>
      <x:c r="S59" s="20"/>
      <x:c r="T59" s="20"/>
      <x:c r="U59" s="20"/>
      <x:c r="V59" s="20"/>
      <x:c r="W59" s="20"/>
      <x:c r="X59" s="20"/>
      <x:c r="Y59" s="20"/>
      <x:c r="Z59" s="20"/>
    </x:row>
    <x:row r="60">
      <x:c r="A60" s="20"/>
      <x:c r="B60" s="20"/>
      <x:c r="C60" s="20"/>
      <x:c r="D60" s="20"/>
      <x:c r="E60" s="20"/>
      <x:c r="F60" s="20"/>
      <x:c r="G60" s="20"/>
      <x:c r="H60" s="20"/>
      <x:c r="I60" s="20"/>
      <x:c r="J60" s="20"/>
      <x:c r="K60" s="20"/>
      <x:c r="L60" s="20"/>
      <x:c r="M60" s="20"/>
      <x:c r="N60" s="20"/>
      <x:c r="O60" s="20"/>
      <x:c r="P60" s="20"/>
      <x:c r="Q60" s="20"/>
      <x:c r="R60" s="20"/>
      <x:c r="S60" s="20"/>
      <x:c r="T60" s="20"/>
      <x:c r="U60" s="20"/>
      <x:c r="V60" s="20"/>
      <x:c r="W60" s="20"/>
      <x:c r="X60" s="20"/>
      <x:c r="Y60" s="20"/>
      <x:c r="Z60" s="20"/>
    </x:row>
    <x:row r="61">
      <x:c r="A61" s="20"/>
      <x:c r="B61" s="20"/>
      <x:c r="C61" s="20"/>
      <x:c r="D61" s="20"/>
      <x:c r="E61" s="20"/>
      <x:c r="F61" s="20"/>
      <x:c r="G61" s="20"/>
      <x:c r="H61" s="20"/>
      <x:c r="I61" s="20"/>
      <x:c r="J61" s="20"/>
      <x:c r="K61" s="20"/>
      <x:c r="L61" s="20"/>
      <x:c r="M61" s="20"/>
      <x:c r="N61" s="20"/>
      <x:c r="O61" s="20"/>
      <x:c r="P61" s="20"/>
      <x:c r="Q61" s="20"/>
      <x:c r="R61" s="20"/>
      <x:c r="S61" s="20"/>
      <x:c r="T61" s="20"/>
      <x:c r="U61" s="20"/>
      <x:c r="V61" s="20"/>
      <x:c r="W61" s="20"/>
      <x:c r="X61" s="20"/>
      <x:c r="Y61" s="20"/>
      <x:c r="Z61" s="20"/>
    </x:row>
    <x:row r="62">
      <x:c r="A62" s="20"/>
      <x:c r="B62" s="20"/>
      <x:c r="C62" s="20"/>
      <x:c r="D62" s="20"/>
      <x:c r="E62" s="20"/>
      <x:c r="F62" s="20"/>
      <x:c r="G62" s="20"/>
      <x:c r="H62" s="20"/>
      <x:c r="I62" s="20"/>
      <x:c r="J62" s="20"/>
      <x:c r="K62" s="20"/>
      <x:c r="L62" s="20"/>
      <x:c r="M62" s="20"/>
      <x:c r="N62" s="20"/>
      <x:c r="O62" s="20"/>
      <x:c r="P62" s="20"/>
      <x:c r="Q62" s="20"/>
      <x:c r="R62" s="20"/>
      <x:c r="S62" s="20"/>
      <x:c r="T62" s="20"/>
      <x:c r="U62" s="20"/>
      <x:c r="V62" s="20"/>
      <x:c r="W62" s="20"/>
      <x:c r="X62" s="20"/>
      <x:c r="Y62" s="20"/>
      <x:c r="Z62" s="20"/>
    </x:row>
    <x:row r="63">
      <x:c r="A63" s="20"/>
      <x:c r="B63" s="20"/>
      <x:c r="C63" s="20"/>
      <x:c r="D63" s="20"/>
      <x:c r="E63" s="20"/>
      <x:c r="F63" s="20"/>
      <x:c r="G63" s="20"/>
      <x:c r="H63" s="20"/>
      <x:c r="I63" s="20"/>
      <x:c r="J63" s="20"/>
      <x:c r="K63" s="20"/>
      <x:c r="L63" s="20"/>
      <x:c r="M63" s="20"/>
      <x:c r="N63" s="20"/>
      <x:c r="O63" s="20"/>
      <x:c r="P63" s="20"/>
      <x:c r="Q63" s="20"/>
      <x:c r="R63" s="20"/>
      <x:c r="S63" s="20"/>
      <x:c r="T63" s="20"/>
      <x:c r="U63" s="20"/>
      <x:c r="V63" s="20"/>
      <x:c r="W63" s="20"/>
      <x:c r="X63" s="20"/>
      <x:c r="Y63" s="20"/>
      <x:c r="Z63" s="20"/>
    </x:row>
    <x:row r="64">
      <x:c r="A64" s="20"/>
      <x:c r="B64" s="20"/>
      <x:c r="C64" s="20"/>
      <x:c r="D64" s="20"/>
      <x:c r="E64" s="20"/>
      <x:c r="F64" s="20"/>
      <x:c r="G64" s="20"/>
      <x:c r="H64" s="20"/>
      <x:c r="I64" s="20"/>
      <x:c r="J64" s="20"/>
      <x:c r="K64" s="20"/>
      <x:c r="L64" s="20"/>
      <x:c r="M64" s="20"/>
      <x:c r="N64" s="20"/>
      <x:c r="O64" s="20"/>
      <x:c r="P64" s="20"/>
      <x:c r="Q64" s="20"/>
      <x:c r="R64" s="20"/>
      <x:c r="S64" s="20"/>
      <x:c r="T64" s="20"/>
      <x:c r="U64" s="20"/>
      <x:c r="V64" s="20"/>
      <x:c r="W64" s="20"/>
      <x:c r="X64" s="20"/>
      <x:c r="Y64" s="20"/>
      <x:c r="Z64" s="20"/>
    </x:row>
    <x:row r="65">
      <x:c r="A65" s="20"/>
      <x:c r="B65" s="20"/>
      <x:c r="C65" s="20"/>
      <x:c r="D65" s="20"/>
      <x:c r="E65" s="20"/>
      <x:c r="F65" s="20"/>
      <x:c r="G65" s="20"/>
      <x:c r="H65" s="20"/>
      <x:c r="I65" s="20"/>
      <x:c r="J65" s="20"/>
      <x:c r="K65" s="20"/>
      <x:c r="L65" s="20"/>
      <x:c r="M65" s="20"/>
      <x:c r="N65" s="20"/>
      <x:c r="O65" s="20"/>
      <x:c r="P65" s="20"/>
      <x:c r="Q65" s="20"/>
      <x:c r="R65" s="20"/>
      <x:c r="S65" s="20"/>
      <x:c r="T65" s="20"/>
      <x:c r="U65" s="20"/>
      <x:c r="V65" s="20"/>
      <x:c r="W65" s="20"/>
      <x:c r="X65" s="20"/>
      <x:c r="Y65" s="20"/>
      <x:c r="Z65" s="20"/>
    </x:row>
    <x:row r="66">
      <x:c r="A66" s="20"/>
      <x:c r="B66" s="20"/>
      <x:c r="C66" s="20"/>
      <x:c r="D66" s="20"/>
      <x:c r="E66" s="20"/>
      <x:c r="F66" s="20"/>
      <x:c r="G66" s="20"/>
      <x:c r="H66" s="20"/>
      <x:c r="I66" s="20"/>
      <x:c r="J66" s="20"/>
      <x:c r="K66" s="20"/>
      <x:c r="L66" s="20"/>
      <x:c r="M66" s="20"/>
      <x:c r="N66" s="20"/>
      <x:c r="O66" s="20"/>
      <x:c r="P66" s="20"/>
      <x:c r="Q66" s="20"/>
      <x:c r="R66" s="20"/>
      <x:c r="S66" s="20"/>
      <x:c r="T66" s="20"/>
      <x:c r="U66" s="20"/>
      <x:c r="V66" s="20"/>
      <x:c r="W66" s="20"/>
      <x:c r="X66" s="20"/>
      <x:c r="Y66" s="20"/>
      <x:c r="Z66" s="20"/>
    </x:row>
    <x:row r="67">
      <x:c r="A67" s="20"/>
      <x:c r="B67" s="20"/>
      <x:c r="C67" s="20"/>
      <x:c r="D67" s="20"/>
      <x:c r="E67" s="20"/>
      <x:c r="F67" s="20"/>
      <x:c r="G67" s="20"/>
      <x:c r="H67" s="20"/>
      <x:c r="I67" s="20"/>
      <x:c r="J67" s="20"/>
      <x:c r="K67" s="20"/>
      <x:c r="L67" s="20"/>
      <x:c r="M67" s="20"/>
      <x:c r="N67" s="20"/>
      <x:c r="O67" s="20"/>
      <x:c r="P67" s="20"/>
      <x:c r="Q67" s="20"/>
      <x:c r="R67" s="20"/>
      <x:c r="S67" s="20"/>
      <x:c r="T67" s="20"/>
      <x:c r="U67" s="20"/>
      <x:c r="V67" s="20"/>
      <x:c r="W67" s="20"/>
      <x:c r="X67" s="20"/>
      <x:c r="Y67" s="20"/>
      <x:c r="Z67" s="20"/>
    </x:row>
    <x:row r="68">
      <x:c r="A68" s="20"/>
      <x:c r="B68" s="20"/>
      <x:c r="C68" s="20"/>
      <x:c r="D68" s="20"/>
      <x:c r="E68" s="20"/>
      <x:c r="F68" s="20"/>
      <x:c r="G68" s="20"/>
      <x:c r="H68" s="20"/>
      <x:c r="I68" s="20"/>
      <x:c r="J68" s="20"/>
      <x:c r="K68" s="20"/>
      <x:c r="L68" s="20"/>
      <x:c r="M68" s="20"/>
      <x:c r="N68" s="20"/>
      <x:c r="O68" s="20"/>
      <x:c r="P68" s="20"/>
      <x:c r="Q68" s="20"/>
      <x:c r="R68" s="20"/>
      <x:c r="S68" s="20"/>
      <x:c r="T68" s="20"/>
      <x:c r="U68" s="20"/>
      <x:c r="V68" s="20"/>
      <x:c r="W68" s="20"/>
      <x:c r="X68" s="20"/>
      <x:c r="Y68" s="20"/>
      <x:c r="Z68" s="20"/>
    </x:row>
    <x:row r="69">
      <x:c r="A69" s="20"/>
      <x:c r="B69" s="20"/>
      <x:c r="C69" s="20"/>
      <x:c r="D69" s="20"/>
      <x:c r="E69" s="20"/>
      <x:c r="F69" s="20"/>
      <x:c r="G69" s="20"/>
      <x:c r="H69" s="20"/>
      <x:c r="I69" s="20"/>
      <x:c r="J69" s="20"/>
      <x:c r="K69" s="20"/>
      <x:c r="L69" s="20"/>
      <x:c r="M69" s="20"/>
      <x:c r="N69" s="20"/>
      <x:c r="O69" s="20"/>
      <x:c r="P69" s="20"/>
      <x:c r="Q69" s="20"/>
      <x:c r="R69" s="20"/>
      <x:c r="S69" s="20"/>
      <x:c r="T69" s="20"/>
      <x:c r="U69" s="20"/>
      <x:c r="V69" s="20"/>
      <x:c r="W69" s="20"/>
      <x:c r="X69" s="20"/>
      <x:c r="Y69" s="20"/>
      <x:c r="Z69" s="20"/>
    </x:row>
    <x:row r="70">
      <x:c r="A70" s="20"/>
      <x:c r="B70" s="20"/>
      <x:c r="C70" s="20"/>
      <x:c r="D70" s="20"/>
      <x:c r="E70" s="20"/>
      <x:c r="F70" s="20"/>
      <x:c r="G70" s="20"/>
      <x:c r="H70" s="20"/>
      <x:c r="I70" s="20"/>
      <x:c r="J70" s="20"/>
      <x:c r="K70" s="20"/>
      <x:c r="L70" s="20"/>
      <x:c r="M70" s="20"/>
      <x:c r="N70" s="20"/>
      <x:c r="O70" s="20"/>
      <x:c r="P70" s="20"/>
      <x:c r="Q70" s="20"/>
      <x:c r="R70" s="20"/>
      <x:c r="S70" s="20"/>
      <x:c r="T70" s="20"/>
      <x:c r="U70" s="20"/>
      <x:c r="V70" s="20"/>
      <x:c r="W70" s="20"/>
      <x:c r="X70" s="20"/>
      <x:c r="Y70" s="20"/>
      <x:c r="Z70" s="20"/>
    </x:row>
    <x:row r="71">
      <x:c r="A71" s="20"/>
      <x:c r="B71" s="20"/>
      <x:c r="C71" s="20"/>
      <x:c r="D71" s="20"/>
      <x:c r="E71" s="20"/>
      <x:c r="F71" s="20"/>
      <x:c r="G71" s="20"/>
      <x:c r="H71" s="20"/>
      <x:c r="I71" s="20"/>
      <x:c r="J71" s="20"/>
      <x:c r="K71" s="20"/>
      <x:c r="L71" s="20"/>
      <x:c r="M71" s="20"/>
      <x:c r="N71" s="20"/>
      <x:c r="O71" s="20"/>
      <x:c r="P71" s="20"/>
      <x:c r="Q71" s="20"/>
      <x:c r="R71" s="20"/>
      <x:c r="S71" s="20"/>
      <x:c r="T71" s="20"/>
      <x:c r="U71" s="20"/>
      <x:c r="V71" s="20"/>
      <x:c r="W71" s="20"/>
      <x:c r="X71" s="20"/>
      <x:c r="Y71" s="20"/>
      <x:c r="Z71" s="20"/>
    </x:row>
    <x:row r="72">
      <x:c r="A72" s="20"/>
      <x:c r="B72" s="20"/>
      <x:c r="C72" s="20"/>
      <x:c r="D72" s="20"/>
      <x:c r="E72" s="20"/>
      <x:c r="F72" s="20"/>
      <x:c r="G72" s="20"/>
      <x:c r="H72" s="20"/>
      <x:c r="I72" s="20"/>
      <x:c r="J72" s="20"/>
      <x:c r="K72" s="20"/>
      <x:c r="L72" s="20"/>
      <x:c r="M72" s="20"/>
      <x:c r="N72" s="20"/>
      <x:c r="O72" s="20"/>
      <x:c r="P72" s="20"/>
      <x:c r="Q72" s="20"/>
      <x:c r="R72" s="20"/>
      <x:c r="S72" s="20"/>
      <x:c r="T72" s="20"/>
      <x:c r="U72" s="20"/>
      <x:c r="V72" s="20"/>
      <x:c r="W72" s="20"/>
      <x:c r="X72" s="20"/>
      <x:c r="Y72" s="20"/>
      <x:c r="Z72" s="20"/>
    </x:row>
    <x:row r="73">
      <x:c r="A73" s="20"/>
      <x:c r="B73" s="20"/>
      <x:c r="C73" s="20"/>
      <x:c r="D73" s="20"/>
      <x:c r="E73" s="20"/>
      <x:c r="F73" s="20"/>
      <x:c r="G73" s="20"/>
      <x:c r="H73" s="20"/>
      <x:c r="I73" s="20"/>
      <x:c r="J73" s="20"/>
      <x:c r="K73" s="20"/>
      <x:c r="L73" s="20"/>
      <x:c r="M73" s="20"/>
      <x:c r="N73" s="20"/>
      <x:c r="O73" s="20"/>
      <x:c r="P73" s="20"/>
      <x:c r="Q73" s="20"/>
      <x:c r="R73" s="20"/>
      <x:c r="S73" s="20"/>
      <x:c r="T73" s="20"/>
      <x:c r="U73" s="20"/>
      <x:c r="V73" s="20"/>
      <x:c r="W73" s="20"/>
      <x:c r="X73" s="20"/>
      <x:c r="Y73" s="20"/>
      <x:c r="Z73" s="20"/>
    </x:row>
    <x:row r="74">
      <x:c r="A74" s="20"/>
      <x:c r="B74" s="20"/>
      <x:c r="C74" s="20"/>
      <x:c r="D74" s="20"/>
      <x:c r="E74" s="20"/>
      <x:c r="F74" s="20"/>
      <x:c r="G74" s="20"/>
      <x:c r="H74" s="20"/>
      <x:c r="I74" s="20"/>
      <x:c r="J74" s="20"/>
      <x:c r="K74" s="20"/>
      <x:c r="L74" s="20"/>
      <x:c r="M74" s="20"/>
      <x:c r="N74" s="20"/>
      <x:c r="O74" s="20"/>
      <x:c r="P74" s="20"/>
      <x:c r="Q74" s="20"/>
      <x:c r="R74" s="20"/>
      <x:c r="S74" s="20"/>
      <x:c r="T74" s="20"/>
      <x:c r="U74" s="20"/>
      <x:c r="V74" s="20"/>
      <x:c r="W74" s="20"/>
      <x:c r="X74" s="20"/>
      <x:c r="Y74" s="20"/>
      <x:c r="Z74" s="20"/>
    </x:row>
    <x:row r="75">
      <x:c r="A75" s="20"/>
      <x:c r="B75" s="20"/>
      <x:c r="C75" s="20"/>
      <x:c r="D75" s="20"/>
      <x:c r="E75" s="20"/>
      <x:c r="F75" s="20"/>
      <x:c r="G75" s="20"/>
      <x:c r="H75" s="20"/>
      <x:c r="I75" s="20"/>
      <x:c r="J75" s="20"/>
      <x:c r="K75" s="20"/>
      <x:c r="L75" s="20"/>
      <x:c r="M75" s="20"/>
      <x:c r="N75" s="20"/>
      <x:c r="O75" s="20"/>
      <x:c r="P75" s="20"/>
      <x:c r="Q75" s="20"/>
      <x:c r="R75" s="20"/>
      <x:c r="S75" s="20"/>
      <x:c r="T75" s="20"/>
      <x:c r="U75" s="20"/>
      <x:c r="V75" s="20"/>
      <x:c r="W75" s="20"/>
      <x:c r="X75" s="20"/>
      <x:c r="Y75" s="20"/>
      <x:c r="Z75" s="20"/>
    </x:row>
    <x:row r="76">
      <x:c r="A76" s="20"/>
      <x:c r="B76" s="20"/>
      <x:c r="C76" s="20"/>
      <x:c r="D76" s="20"/>
      <x:c r="E76" s="20"/>
      <x:c r="F76" s="20"/>
      <x:c r="G76" s="20"/>
      <x:c r="H76" s="20"/>
      <x:c r="I76" s="20"/>
      <x:c r="J76" s="20"/>
      <x:c r="K76" s="20"/>
      <x:c r="L76" s="20"/>
      <x:c r="M76" s="20"/>
      <x:c r="N76" s="20"/>
      <x:c r="O76" s="20"/>
      <x:c r="P76" s="20"/>
      <x:c r="Q76" s="20"/>
      <x:c r="R76" s="20"/>
      <x:c r="S76" s="20"/>
      <x:c r="T76" s="20"/>
      <x:c r="U76" s="20"/>
      <x:c r="V76" s="20"/>
      <x:c r="W76" s="20"/>
      <x:c r="X76" s="20"/>
      <x:c r="Y76" s="20"/>
      <x:c r="Z76" s="20"/>
    </x:row>
    <x:row r="77">
      <x:c r="A77" s="20"/>
      <x:c r="B77" s="20"/>
      <x:c r="C77" s="20"/>
      <x:c r="D77" s="20"/>
      <x:c r="E77" s="20"/>
      <x:c r="F77" s="20"/>
      <x:c r="G77" s="20"/>
      <x:c r="H77" s="20"/>
      <x:c r="I77" s="20"/>
      <x:c r="J77" s="20"/>
      <x:c r="K77" s="20"/>
      <x:c r="L77" s="20"/>
      <x:c r="M77" s="20"/>
      <x:c r="N77" s="20"/>
      <x:c r="O77" s="20"/>
      <x:c r="P77" s="20"/>
      <x:c r="Q77" s="20"/>
      <x:c r="R77" s="20"/>
      <x:c r="S77" s="20"/>
      <x:c r="T77" s="20"/>
      <x:c r="U77" s="20"/>
      <x:c r="V77" s="20"/>
      <x:c r="W77" s="20"/>
      <x:c r="X77" s="20"/>
      <x:c r="Y77" s="20"/>
      <x:c r="Z77" s="20"/>
    </x:row>
    <x:row r="78">
      <x:c r="A78" s="20"/>
      <x:c r="B78" s="20"/>
      <x:c r="C78" s="20"/>
      <x:c r="D78" s="20"/>
      <x:c r="E78" s="20"/>
      <x:c r="F78" s="20"/>
      <x:c r="G78" s="20"/>
      <x:c r="H78" s="20"/>
      <x:c r="I78" s="20"/>
      <x:c r="J78" s="20"/>
      <x:c r="K78" s="20"/>
      <x:c r="L78" s="20"/>
      <x:c r="M78" s="20"/>
      <x:c r="N78" s="20"/>
      <x:c r="O78" s="20"/>
      <x:c r="P78" s="20"/>
      <x:c r="Q78" s="20"/>
      <x:c r="R78" s="20"/>
      <x:c r="S78" s="20"/>
      <x:c r="T78" s="20"/>
      <x:c r="U78" s="20"/>
      <x:c r="V78" s="20"/>
      <x:c r="W78" s="20"/>
      <x:c r="X78" s="20"/>
      <x:c r="Y78" s="20"/>
      <x:c r="Z78" s="20"/>
    </x:row>
    <x:row r="79">
      <x:c r="A79" s="20"/>
      <x:c r="B79" s="20"/>
      <x:c r="C79" s="20"/>
      <x:c r="D79" s="20"/>
      <x:c r="E79" s="20"/>
      <x:c r="F79" s="20"/>
      <x:c r="G79" s="20"/>
      <x:c r="H79" s="20"/>
      <x:c r="I79" s="20"/>
      <x:c r="J79" s="20"/>
      <x:c r="K79" s="20"/>
      <x:c r="L79" s="20"/>
      <x:c r="M79" s="20"/>
      <x:c r="N79" s="20"/>
      <x:c r="O79" s="20"/>
      <x:c r="P79" s="20"/>
      <x:c r="Q79" s="20"/>
      <x:c r="R79" s="20"/>
      <x:c r="S79" s="20"/>
      <x:c r="T79" s="20"/>
      <x:c r="U79" s="20"/>
      <x:c r="V79" s="20"/>
      <x:c r="W79" s="20"/>
      <x:c r="X79" s="20"/>
      <x:c r="Y79" s="20"/>
      <x:c r="Z79" s="20"/>
    </x:row>
    <x:row r="80">
      <x:c r="A80" s="20"/>
      <x:c r="B80" s="20"/>
      <x:c r="C80" s="20"/>
      <x:c r="D80" s="20"/>
      <x:c r="E80" s="20"/>
      <x:c r="F80" s="20"/>
      <x:c r="G80" s="20"/>
      <x:c r="H80" s="20"/>
      <x:c r="I80" s="20"/>
      <x:c r="J80" s="20"/>
      <x:c r="K80" s="20"/>
      <x:c r="L80" s="20"/>
      <x:c r="M80" s="20"/>
      <x:c r="N80" s="20"/>
      <x:c r="O80" s="20"/>
      <x:c r="P80" s="20"/>
      <x:c r="Q80" s="20"/>
      <x:c r="R80" s="20"/>
      <x:c r="S80" s="20"/>
      <x:c r="T80" s="20"/>
      <x:c r="U80" s="20"/>
      <x:c r="V80" s="20"/>
      <x:c r="W80" s="20"/>
      <x:c r="X80" s="20"/>
      <x:c r="Y80" s="20"/>
      <x:c r="Z80" s="20"/>
    </x:row>
    <x:row r="81">
      <x:c r="A81" s="20"/>
      <x:c r="B81" s="20"/>
      <x:c r="C81" s="20"/>
      <x:c r="D81" s="20"/>
      <x:c r="E81" s="20"/>
      <x:c r="F81" s="20"/>
      <x:c r="G81" s="20"/>
      <x:c r="H81" s="20"/>
      <x:c r="I81" s="20"/>
      <x:c r="J81" s="20"/>
      <x:c r="K81" s="20"/>
      <x:c r="L81" s="20"/>
      <x:c r="M81" s="20"/>
      <x:c r="N81" s="20"/>
      <x:c r="O81" s="20"/>
      <x:c r="P81" s="20"/>
      <x:c r="Q81" s="20"/>
      <x:c r="R81" s="20"/>
      <x:c r="S81" s="20"/>
      <x:c r="T81" s="20"/>
      <x:c r="U81" s="20"/>
      <x:c r="V81" s="20"/>
      <x:c r="W81" s="20"/>
      <x:c r="X81" s="20"/>
      <x:c r="Y81" s="20"/>
      <x:c r="Z81" s="20"/>
    </x:row>
    <x:row r="82">
      <x:c r="A82" s="20"/>
      <x:c r="B82" s="20"/>
      <x:c r="C82" s="20"/>
      <x:c r="D82" s="20"/>
      <x:c r="E82" s="20"/>
      <x:c r="F82" s="20"/>
      <x:c r="G82" s="20"/>
      <x:c r="H82" s="20"/>
      <x:c r="I82" s="20"/>
      <x:c r="J82" s="20"/>
      <x:c r="K82" s="20"/>
      <x:c r="L82" s="20"/>
      <x:c r="M82" s="20"/>
      <x:c r="N82" s="20"/>
      <x:c r="O82" s="20"/>
      <x:c r="P82" s="20"/>
      <x:c r="Q82" s="20"/>
      <x:c r="R82" s="20"/>
      <x:c r="S82" s="20"/>
      <x:c r="T82" s="20"/>
      <x:c r="U82" s="20"/>
      <x:c r="V82" s="20"/>
      <x:c r="W82" s="20"/>
      <x:c r="X82" s="20"/>
      <x:c r="Y82" s="20"/>
      <x:c r="Z82" s="20"/>
    </x:row>
    <x:row r="83">
      <x:c r="A83" s="20"/>
      <x:c r="B83" s="20"/>
      <x:c r="C83" s="20"/>
      <x:c r="D83" s="20"/>
      <x:c r="E83" s="20"/>
      <x:c r="F83" s="20"/>
      <x:c r="G83" s="20"/>
      <x:c r="H83" s="20"/>
      <x:c r="I83" s="20"/>
      <x:c r="J83" s="20"/>
      <x:c r="K83" s="20"/>
      <x:c r="L83" s="20"/>
      <x:c r="M83" s="20"/>
      <x:c r="N83" s="20"/>
      <x:c r="O83" s="20"/>
      <x:c r="P83" s="20"/>
      <x:c r="Q83" s="20"/>
      <x:c r="R83" s="20"/>
      <x:c r="S83" s="20"/>
      <x:c r="T83" s="20"/>
      <x:c r="U83" s="20"/>
      <x:c r="V83" s="20"/>
      <x:c r="W83" s="20"/>
      <x:c r="X83" s="20"/>
      <x:c r="Y83" s="20"/>
      <x:c r="Z83" s="20"/>
    </x:row>
    <x:row r="84">
      <x:c r="A84" s="20"/>
      <x:c r="B84" s="20"/>
      <x:c r="C84" s="20"/>
      <x:c r="D84" s="20"/>
      <x:c r="E84" s="20"/>
      <x:c r="F84" s="20"/>
      <x:c r="G84" s="20"/>
      <x:c r="H84" s="20"/>
      <x:c r="I84" s="20"/>
      <x:c r="J84" s="20"/>
      <x:c r="K84" s="20"/>
      <x:c r="L84" s="20"/>
      <x:c r="M84" s="20"/>
      <x:c r="N84" s="20"/>
      <x:c r="O84" s="20"/>
      <x:c r="P84" s="20"/>
      <x:c r="Q84" s="20"/>
      <x:c r="R84" s="20"/>
      <x:c r="S84" s="20"/>
      <x:c r="T84" s="20"/>
      <x:c r="U84" s="20"/>
      <x:c r="V84" s="20"/>
      <x:c r="W84" s="20"/>
      <x:c r="X84" s="20"/>
      <x:c r="Y84" s="20"/>
      <x:c r="Z84" s="20"/>
    </x:row>
    <x:row r="85">
      <x:c r="A85" s="20"/>
      <x:c r="B85" s="20"/>
      <x:c r="C85" s="20"/>
      <x:c r="D85" s="20"/>
      <x:c r="E85" s="20"/>
      <x:c r="F85" s="20"/>
      <x:c r="G85" s="20"/>
      <x:c r="H85" s="20"/>
      <x:c r="I85" s="20"/>
      <x:c r="J85" s="20"/>
      <x:c r="K85" s="20"/>
      <x:c r="L85" s="20"/>
      <x:c r="M85" s="20"/>
      <x:c r="N85" s="20"/>
      <x:c r="O85" s="20"/>
      <x:c r="P85" s="20"/>
      <x:c r="Q85" s="20"/>
      <x:c r="R85" s="20"/>
      <x:c r="S85" s="20"/>
      <x:c r="T85" s="20"/>
      <x:c r="U85" s="20"/>
      <x:c r="V85" s="20"/>
      <x:c r="W85" s="20"/>
      <x:c r="X85" s="20"/>
      <x:c r="Y85" s="20"/>
      <x:c r="Z85" s="20"/>
    </x:row>
    <x:row r="86">
      <x:c r="A86" s="20"/>
      <x:c r="B86" s="20"/>
      <x:c r="C86" s="20"/>
      <x:c r="D86" s="20"/>
      <x:c r="E86" s="20"/>
      <x:c r="F86" s="20"/>
      <x:c r="G86" s="20"/>
      <x:c r="H86" s="20"/>
      <x:c r="I86" s="20"/>
      <x:c r="J86" s="20"/>
      <x:c r="K86" s="20"/>
      <x:c r="L86" s="20"/>
      <x:c r="M86" s="20"/>
      <x:c r="N86" s="20"/>
      <x:c r="O86" s="20"/>
      <x:c r="P86" s="20"/>
      <x:c r="Q86" s="20"/>
      <x:c r="R86" s="20"/>
      <x:c r="S86" s="20"/>
      <x:c r="T86" s="20"/>
      <x:c r="U86" s="20"/>
      <x:c r="V86" s="20"/>
      <x:c r="W86" s="20"/>
      <x:c r="X86" s="20"/>
      <x:c r="Y86" s="20"/>
      <x:c r="Z86" s="20"/>
    </x:row>
    <x:row r="87">
      <x:c r="A87" s="20"/>
      <x:c r="B87" s="20"/>
      <x:c r="C87" s="20"/>
      <x:c r="D87" s="20"/>
      <x:c r="E87" s="20"/>
      <x:c r="F87" s="20"/>
      <x:c r="G87" s="20"/>
      <x:c r="H87" s="20"/>
      <x:c r="I87" s="20"/>
      <x:c r="J87" s="20"/>
      <x:c r="K87" s="20"/>
      <x:c r="L87" s="20"/>
      <x:c r="M87" s="20"/>
      <x:c r="N87" s="20"/>
      <x:c r="O87" s="20"/>
      <x:c r="P87" s="20"/>
      <x:c r="Q87" s="20"/>
      <x:c r="R87" s="20"/>
      <x:c r="S87" s="20"/>
      <x:c r="T87" s="20"/>
      <x:c r="U87" s="20"/>
      <x:c r="V87" s="20"/>
      <x:c r="W87" s="20"/>
      <x:c r="X87" s="20"/>
      <x:c r="Y87" s="20"/>
      <x:c r="Z87" s="20"/>
    </x:row>
    <x:row r="88">
      <x:c r="A88" s="20"/>
      <x:c r="B88" s="20"/>
      <x:c r="C88" s="20"/>
      <x:c r="D88" s="20"/>
      <x:c r="E88" s="20"/>
      <x:c r="F88" s="20"/>
      <x:c r="G88" s="20"/>
      <x:c r="H88" s="20"/>
      <x:c r="I88" s="20"/>
      <x:c r="J88" s="20"/>
      <x:c r="K88" s="20"/>
      <x:c r="L88" s="20"/>
      <x:c r="M88" s="20"/>
      <x:c r="N88" s="20"/>
      <x:c r="O88" s="20"/>
      <x:c r="P88" s="20"/>
      <x:c r="Q88" s="20"/>
      <x:c r="R88" s="20"/>
      <x:c r="S88" s="20"/>
      <x:c r="T88" s="20"/>
      <x:c r="U88" s="20"/>
      <x:c r="V88" s="20"/>
      <x:c r="W88" s="20"/>
      <x:c r="X88" s="20"/>
      <x:c r="Y88" s="20"/>
      <x:c r="Z88" s="20"/>
    </x:row>
    <x:row r="89">
      <x:c r="A89" s="20"/>
      <x:c r="B89" s="20"/>
      <x:c r="C89" s="20"/>
      <x:c r="D89" s="20"/>
      <x:c r="E89" s="20"/>
      <x:c r="F89" s="20"/>
      <x:c r="G89" s="20"/>
      <x:c r="H89" s="20"/>
      <x:c r="I89" s="20"/>
      <x:c r="J89" s="20"/>
      <x:c r="K89" s="20"/>
      <x:c r="L89" s="20"/>
      <x:c r="M89" s="20"/>
      <x:c r="N89" s="20"/>
      <x:c r="O89" s="20"/>
      <x:c r="P89" s="20"/>
      <x:c r="Q89" s="20"/>
      <x:c r="R89" s="20"/>
      <x:c r="S89" s="20"/>
      <x:c r="T89" s="20"/>
      <x:c r="U89" s="20"/>
      <x:c r="V89" s="20"/>
      <x:c r="W89" s="20"/>
      <x:c r="X89" s="20"/>
      <x:c r="Y89" s="20"/>
      <x:c r="Z89" s="20"/>
    </x:row>
    <x:row r="90">
      <x:c r="A90" s="20"/>
      <x:c r="B90" s="20"/>
      <x:c r="C90" s="20"/>
      <x:c r="D90" s="20"/>
      <x:c r="E90" s="20"/>
      <x:c r="F90" s="20"/>
      <x:c r="G90" s="20"/>
      <x:c r="H90" s="20"/>
      <x:c r="I90" s="20"/>
      <x:c r="J90" s="20"/>
      <x:c r="K90" s="20"/>
      <x:c r="L90" s="20"/>
      <x:c r="M90" s="20"/>
      <x:c r="N90" s="20"/>
      <x:c r="O90" s="20"/>
      <x:c r="P90" s="20"/>
      <x:c r="Q90" s="20"/>
      <x:c r="R90" s="20"/>
      <x:c r="S90" s="20"/>
      <x:c r="T90" s="20"/>
      <x:c r="U90" s="20"/>
      <x:c r="V90" s="20"/>
      <x:c r="W90" s="20"/>
      <x:c r="X90" s="20"/>
      <x:c r="Y90" s="20"/>
      <x:c r="Z90" s="20"/>
    </x:row>
    <x:row r="91">
      <x:c r="A91" s="20"/>
      <x:c r="B91" s="20"/>
      <x:c r="C91" s="20"/>
      <x:c r="D91" s="20"/>
      <x:c r="E91" s="20"/>
      <x:c r="F91" s="20"/>
      <x:c r="G91" s="20"/>
      <x:c r="H91" s="20"/>
      <x:c r="I91" s="20"/>
      <x:c r="J91" s="20"/>
      <x:c r="K91" s="20"/>
      <x:c r="L91" s="20"/>
      <x:c r="M91" s="20"/>
      <x:c r="N91" s="20"/>
      <x:c r="O91" s="20"/>
      <x:c r="P91" s="20"/>
      <x:c r="Q91" s="20"/>
      <x:c r="R91" s="20"/>
      <x:c r="S91" s="20"/>
      <x:c r="T91" s="20"/>
      <x:c r="U91" s="20"/>
      <x:c r="V91" s="20"/>
      <x:c r="W91" s="20"/>
      <x:c r="X91" s="20"/>
      <x:c r="Y91" s="20"/>
      <x:c r="Z91" s="20"/>
    </x:row>
    <x:row r="92">
      <x:c r="A92" s="20"/>
      <x:c r="B92" s="20"/>
      <x:c r="C92" s="20"/>
      <x:c r="D92" s="20"/>
      <x:c r="E92" s="20"/>
      <x:c r="F92" s="20"/>
      <x:c r="G92" s="20"/>
      <x:c r="H92" s="20"/>
      <x:c r="I92" s="20"/>
      <x:c r="J92" s="20"/>
      <x:c r="K92" s="20"/>
      <x:c r="L92" s="20"/>
      <x:c r="M92" s="20"/>
      <x:c r="N92" s="20"/>
      <x:c r="O92" s="20"/>
      <x:c r="P92" s="20"/>
      <x:c r="Q92" s="20"/>
      <x:c r="R92" s="20"/>
      <x:c r="S92" s="20"/>
      <x:c r="T92" s="20"/>
      <x:c r="U92" s="20"/>
      <x:c r="V92" s="20"/>
      <x:c r="W92" s="20"/>
      <x:c r="X92" s="20"/>
      <x:c r="Y92" s="20"/>
      <x:c r="Z92" s="20"/>
    </x:row>
    <x:row r="93">
      <x:c r="A93" s="20"/>
      <x:c r="B93" s="20"/>
      <x:c r="C93" s="20"/>
      <x:c r="D93" s="20"/>
      <x:c r="E93" s="20"/>
      <x:c r="F93" s="20"/>
      <x:c r="G93" s="20"/>
      <x:c r="H93" s="20"/>
      <x:c r="I93" s="20"/>
      <x:c r="J93" s="20"/>
      <x:c r="K93" s="20"/>
      <x:c r="L93" s="20"/>
      <x:c r="M93" s="20"/>
      <x:c r="N93" s="20"/>
      <x:c r="O93" s="20"/>
      <x:c r="P93" s="20"/>
      <x:c r="Q93" s="20"/>
      <x:c r="R93" s="20"/>
      <x:c r="S93" s="20"/>
      <x:c r="T93" s="20"/>
      <x:c r="U93" s="20"/>
      <x:c r="V93" s="20"/>
      <x:c r="W93" s="20"/>
      <x:c r="X93" s="20"/>
      <x:c r="Y93" s="20"/>
      <x:c r="Z93" s="20"/>
    </x:row>
    <x:row r="94">
      <x:c r="A94" s="20"/>
      <x:c r="B94" s="20"/>
      <x:c r="C94" s="20"/>
      <x:c r="D94" s="20"/>
      <x:c r="E94" s="20"/>
      <x:c r="F94" s="20"/>
      <x:c r="G94" s="20"/>
      <x:c r="H94" s="20"/>
      <x:c r="I94" s="20"/>
      <x:c r="J94" s="20"/>
      <x:c r="K94" s="20"/>
      <x:c r="L94" s="20"/>
      <x:c r="M94" s="20"/>
      <x:c r="N94" s="20"/>
      <x:c r="O94" s="20"/>
      <x:c r="P94" s="20"/>
      <x:c r="Q94" s="20"/>
      <x:c r="R94" s="20"/>
      <x:c r="S94" s="20"/>
      <x:c r="T94" s="20"/>
      <x:c r="U94" s="20"/>
      <x:c r="V94" s="20"/>
      <x:c r="W94" s="20"/>
      <x:c r="X94" s="20"/>
      <x:c r="Y94" s="20"/>
      <x:c r="Z94" s="20"/>
    </x:row>
    <x:row r="95">
      <x:c r="A95" s="20"/>
      <x:c r="B95" s="20"/>
      <x:c r="C95" s="20"/>
      <x:c r="D95" s="20"/>
      <x:c r="E95" s="20"/>
      <x:c r="F95" s="20"/>
      <x:c r="G95" s="20"/>
      <x:c r="H95" s="20"/>
      <x:c r="I95" s="20"/>
      <x:c r="J95" s="20"/>
      <x:c r="K95" s="20"/>
      <x:c r="L95" s="20"/>
      <x:c r="M95" s="20"/>
      <x:c r="N95" s="20"/>
      <x:c r="O95" s="20"/>
      <x:c r="P95" s="20"/>
      <x:c r="Q95" s="20"/>
      <x:c r="R95" s="20"/>
      <x:c r="S95" s="20"/>
      <x:c r="T95" s="20"/>
      <x:c r="U95" s="20"/>
      <x:c r="V95" s="20"/>
      <x:c r="W95" s="20"/>
      <x:c r="X95" s="20"/>
      <x:c r="Y95" s="20"/>
      <x:c r="Z95" s="20"/>
    </x:row>
    <x:row r="96">
      <x:c r="A96" s="20"/>
      <x:c r="B96" s="20"/>
      <x:c r="C96" s="20"/>
      <x:c r="D96" s="20"/>
      <x:c r="E96" s="20"/>
      <x:c r="F96" s="20"/>
      <x:c r="G96" s="20"/>
      <x:c r="H96" s="20"/>
      <x:c r="I96" s="20"/>
      <x:c r="J96" s="20"/>
      <x:c r="K96" s="20"/>
      <x:c r="L96" s="20"/>
      <x:c r="M96" s="20"/>
      <x:c r="N96" s="20"/>
      <x:c r="O96" s="20"/>
      <x:c r="P96" s="20"/>
      <x:c r="Q96" s="20"/>
      <x:c r="R96" s="20"/>
      <x:c r="S96" s="20"/>
      <x:c r="T96" s="20"/>
      <x:c r="U96" s="20"/>
      <x:c r="V96" s="20"/>
      <x:c r="W96" s="20"/>
      <x:c r="X96" s="20"/>
      <x:c r="Y96" s="20"/>
      <x:c r="Z96" s="20"/>
    </x:row>
    <x:row r="97">
      <x:c r="A97" s="20"/>
      <x:c r="B97" s="20"/>
      <x:c r="C97" s="20"/>
      <x:c r="D97" s="20"/>
      <x:c r="E97" s="20"/>
      <x:c r="F97" s="20"/>
      <x:c r="G97" s="20"/>
      <x:c r="H97" s="20"/>
      <x:c r="I97" s="20"/>
      <x:c r="J97" s="20"/>
      <x:c r="K97" s="20"/>
      <x:c r="L97" s="20"/>
      <x:c r="M97" s="20"/>
      <x:c r="N97" s="20"/>
      <x:c r="O97" s="20"/>
      <x:c r="P97" s="20"/>
      <x:c r="Q97" s="20"/>
      <x:c r="R97" s="20"/>
      <x:c r="S97" s="20"/>
      <x:c r="T97" s="20"/>
      <x:c r="U97" s="20"/>
      <x:c r="V97" s="20"/>
      <x:c r="W97" s="20"/>
      <x:c r="X97" s="20"/>
      <x:c r="Y97" s="20"/>
      <x:c r="Z97" s="20"/>
    </x:row>
    <x:row r="98">
      <x:c r="A98" s="20"/>
      <x:c r="B98" s="20"/>
      <x:c r="C98" s="20"/>
      <x:c r="D98" s="20"/>
      <x:c r="E98" s="20"/>
      <x:c r="F98" s="20"/>
      <x:c r="G98" s="20"/>
      <x:c r="H98" s="20"/>
      <x:c r="I98" s="20"/>
      <x:c r="J98" s="20"/>
      <x:c r="K98" s="20"/>
      <x:c r="L98" s="20"/>
      <x:c r="M98" s="20"/>
      <x:c r="N98" s="20"/>
      <x:c r="O98" s="20"/>
      <x:c r="P98" s="20"/>
      <x:c r="Q98" s="20"/>
      <x:c r="R98" s="20"/>
      <x:c r="S98" s="20"/>
      <x:c r="T98" s="20"/>
      <x:c r="U98" s="20"/>
      <x:c r="V98" s="20"/>
      <x:c r="W98" s="20"/>
      <x:c r="X98" s="20"/>
      <x:c r="Y98" s="20"/>
      <x:c r="Z98" s="20"/>
    </x:row>
    <x:row r="99">
      <x:c r="A99" s="20"/>
      <x:c r="B99" s="20"/>
      <x:c r="C99" s="20"/>
      <x:c r="D99" s="20"/>
      <x:c r="E99" s="20"/>
      <x:c r="F99" s="20"/>
      <x:c r="G99" s="20"/>
      <x:c r="H99" s="20"/>
      <x:c r="I99" s="20"/>
      <x:c r="J99" s="20"/>
      <x:c r="K99" s="20"/>
      <x:c r="L99" s="20"/>
      <x:c r="M99" s="20"/>
      <x:c r="N99" s="20"/>
      <x:c r="O99" s="20"/>
      <x:c r="P99" s="20"/>
      <x:c r="Q99" s="20"/>
      <x:c r="R99" s="20"/>
      <x:c r="S99" s="20"/>
      <x:c r="T99" s="20"/>
      <x:c r="U99" s="20"/>
      <x:c r="V99" s="20"/>
      <x:c r="W99" s="20"/>
      <x:c r="X99" s="20"/>
      <x:c r="Y99" s="20"/>
      <x:c r="Z99" s="20"/>
    </x:row>
    <x:row r="100">
      <x:c r="A100" s="20"/>
      <x:c r="B100" s="20"/>
      <x:c r="C100" s="20"/>
      <x:c r="D100" s="20"/>
      <x:c r="E100" s="20"/>
      <x:c r="F100" s="20"/>
      <x:c r="G100" s="20"/>
      <x:c r="H100" s="20"/>
      <x:c r="I100" s="20"/>
      <x:c r="J100" s="20"/>
      <x:c r="K100" s="20"/>
      <x:c r="L100" s="20"/>
      <x:c r="M100" s="20"/>
      <x:c r="N100" s="20"/>
      <x:c r="O100" s="20"/>
      <x:c r="P100" s="20"/>
      <x:c r="Q100" s="20"/>
      <x:c r="R100" s="20"/>
      <x:c r="S100" s="20"/>
      <x:c r="T100" s="20"/>
      <x:c r="U100" s="20"/>
      <x:c r="V100" s="20"/>
      <x:c r="W100" s="20"/>
      <x:c r="X100" s="20"/>
      <x:c r="Y100" s="20"/>
      <x:c r="Z100" s="20"/>
    </x:row>
    <x:row r="101">
      <x:c r="A101" s="20"/>
      <x:c r="B101" s="20"/>
      <x:c r="C101" s="20"/>
      <x:c r="D101" s="20"/>
      <x:c r="E101" s="20"/>
      <x:c r="F101" s="20"/>
      <x:c r="G101" s="20"/>
      <x:c r="H101" s="20"/>
      <x:c r="I101" s="20"/>
      <x:c r="J101" s="20"/>
      <x:c r="K101" s="20"/>
      <x:c r="L101" s="20"/>
      <x:c r="M101" s="20"/>
      <x:c r="N101" s="20"/>
      <x:c r="O101" s="20"/>
      <x:c r="P101" s="20"/>
      <x:c r="Q101" s="20"/>
      <x:c r="R101" s="20"/>
      <x:c r="S101" s="20"/>
      <x:c r="T101" s="20"/>
      <x:c r="U101" s="20"/>
      <x:c r="V101" s="20"/>
      <x:c r="W101" s="20"/>
      <x:c r="X101" s="20"/>
      <x:c r="Y101" s="20"/>
      <x:c r="Z101" s="20"/>
    </x:row>
    <x:row r="102">
      <x:c r="A102" s="20"/>
      <x:c r="B102" s="20"/>
      <x:c r="C102" s="20"/>
      <x:c r="D102" s="20"/>
      <x:c r="E102" s="20"/>
      <x:c r="F102" s="20"/>
      <x:c r="G102" s="20"/>
      <x:c r="H102" s="20"/>
      <x:c r="I102" s="20"/>
      <x:c r="J102" s="20"/>
      <x:c r="K102" s="20"/>
      <x:c r="L102" s="20"/>
      <x:c r="M102" s="20"/>
      <x:c r="N102" s="20"/>
      <x:c r="O102" s="20"/>
      <x:c r="P102" s="20"/>
      <x:c r="Q102" s="20"/>
      <x:c r="R102" s="20"/>
      <x:c r="S102" s="20"/>
      <x:c r="T102" s="20"/>
      <x:c r="U102" s="20"/>
      <x:c r="V102" s="20"/>
      <x:c r="W102" s="20"/>
      <x:c r="X102" s="20"/>
      <x:c r="Y102" s="20"/>
      <x:c r="Z102" s="20"/>
    </x:row>
    <x:row r="103">
      <x:c r="A103" s="20"/>
      <x:c r="B103" s="20"/>
      <x:c r="C103" s="20"/>
      <x:c r="D103" s="20"/>
      <x:c r="E103" s="20"/>
      <x:c r="F103" s="20"/>
      <x:c r="G103" s="20"/>
      <x:c r="H103" s="20"/>
      <x:c r="I103" s="20"/>
      <x:c r="J103" s="20"/>
      <x:c r="K103" s="20"/>
      <x:c r="L103" s="20"/>
      <x:c r="M103" s="20"/>
      <x:c r="N103" s="20"/>
      <x:c r="O103" s="20"/>
      <x:c r="P103" s="20"/>
      <x:c r="Q103" s="20"/>
      <x:c r="R103" s="20"/>
      <x:c r="S103" s="20"/>
      <x:c r="T103" s="20"/>
      <x:c r="U103" s="20"/>
      <x:c r="V103" s="20"/>
      <x:c r="W103" s="20"/>
      <x:c r="X103" s="20"/>
      <x:c r="Y103" s="20"/>
      <x:c r="Z103" s="20"/>
    </x:row>
    <x:row r="104">
      <x:c r="A104" s="20"/>
      <x:c r="B104" s="20"/>
      <x:c r="C104" s="20"/>
      <x:c r="D104" s="20"/>
      <x:c r="E104" s="20"/>
      <x:c r="F104" s="20"/>
      <x:c r="G104" s="20"/>
      <x:c r="H104" s="20"/>
      <x:c r="I104" s="20"/>
      <x:c r="J104" s="20"/>
      <x:c r="K104" s="20"/>
      <x:c r="L104" s="20"/>
      <x:c r="M104" s="20"/>
      <x:c r="N104" s="20"/>
      <x:c r="O104" s="20"/>
      <x:c r="P104" s="20"/>
      <x:c r="Q104" s="20"/>
      <x:c r="R104" s="20"/>
      <x:c r="S104" s="20"/>
      <x:c r="T104" s="20"/>
      <x:c r="U104" s="20"/>
      <x:c r="V104" s="20"/>
      <x:c r="W104" s="20"/>
      <x:c r="X104" s="20"/>
      <x:c r="Y104" s="20"/>
      <x:c r="Z104" s="20"/>
    </x:row>
    <x:row r="105">
      <x:c r="A105" s="20"/>
      <x:c r="B105" s="20"/>
      <x:c r="C105" s="20"/>
      <x:c r="D105" s="20"/>
      <x:c r="E105" s="20"/>
      <x:c r="F105" s="20"/>
      <x:c r="G105" s="20"/>
      <x:c r="H105" s="20"/>
      <x:c r="I105" s="20"/>
      <x:c r="J105" s="20"/>
      <x:c r="K105" s="20"/>
      <x:c r="L105" s="20"/>
      <x:c r="M105" s="20"/>
      <x:c r="N105" s="20"/>
      <x:c r="O105" s="20"/>
      <x:c r="P105" s="20"/>
      <x:c r="Q105" s="20"/>
      <x:c r="R105" s="20"/>
      <x:c r="S105" s="20"/>
      <x:c r="T105" s="20"/>
      <x:c r="U105" s="20"/>
      <x:c r="V105" s="20"/>
      <x:c r="W105" s="20"/>
      <x:c r="X105" s="20"/>
      <x:c r="Y105" s="20"/>
      <x:c r="Z105" s="20"/>
    </x:row>
    <x:row r="106">
      <x:c r="A106" s="20"/>
      <x:c r="B106" s="20"/>
      <x:c r="C106" s="20"/>
      <x:c r="D106" s="20"/>
      <x:c r="E106" s="20"/>
      <x:c r="F106" s="20"/>
      <x:c r="G106" s="20"/>
      <x:c r="H106" s="20"/>
      <x:c r="I106" s="20"/>
      <x:c r="J106" s="20"/>
      <x:c r="K106" s="20"/>
      <x:c r="L106" s="20"/>
      <x:c r="M106" s="20"/>
      <x:c r="N106" s="20"/>
      <x:c r="O106" s="20"/>
      <x:c r="P106" s="20"/>
      <x:c r="Q106" s="20"/>
      <x:c r="R106" s="20"/>
      <x:c r="S106" s="20"/>
      <x:c r="T106" s="20"/>
      <x:c r="U106" s="20"/>
      <x:c r="V106" s="20"/>
      <x:c r="W106" s="20"/>
      <x:c r="X106" s="20"/>
      <x:c r="Y106" s="20"/>
      <x:c r="Z106" s="20"/>
    </x:row>
    <x:row r="107">
      <x:c r="A107" s="20"/>
      <x:c r="B107" s="20"/>
      <x:c r="C107" s="20"/>
      <x:c r="D107" s="20"/>
      <x:c r="E107" s="20"/>
      <x:c r="F107" s="20"/>
      <x:c r="G107" s="20"/>
      <x:c r="H107" s="20"/>
      <x:c r="I107" s="20"/>
      <x:c r="J107" s="20"/>
      <x:c r="K107" s="20"/>
      <x:c r="L107" s="20"/>
      <x:c r="M107" s="20"/>
      <x:c r="N107" s="20"/>
      <x:c r="O107" s="20"/>
      <x:c r="P107" s="20"/>
      <x:c r="Q107" s="20"/>
      <x:c r="R107" s="20"/>
      <x:c r="S107" s="20"/>
      <x:c r="T107" s="20"/>
      <x:c r="U107" s="20"/>
      <x:c r="V107" s="20"/>
      <x:c r="W107" s="20"/>
      <x:c r="X107" s="20"/>
      <x:c r="Y107" s="20"/>
      <x:c r="Z107" s="20"/>
    </x:row>
    <x:row r="108">
      <x:c r="A108" s="20"/>
      <x:c r="B108" s="20"/>
      <x:c r="C108" s="20"/>
      <x:c r="D108" s="20"/>
      <x:c r="E108" s="20"/>
      <x:c r="F108" s="20"/>
      <x:c r="G108" s="20"/>
      <x:c r="H108" s="20"/>
      <x:c r="I108" s="20"/>
      <x:c r="J108" s="20"/>
      <x:c r="K108" s="20"/>
      <x:c r="L108" s="20"/>
      <x:c r="M108" s="20"/>
      <x:c r="N108" s="20"/>
      <x:c r="O108" s="20"/>
      <x:c r="P108" s="20"/>
      <x:c r="Q108" s="20"/>
      <x:c r="R108" s="20"/>
      <x:c r="S108" s="20"/>
      <x:c r="T108" s="20"/>
      <x:c r="U108" s="20"/>
      <x:c r="V108" s="20"/>
      <x:c r="W108" s="20"/>
      <x:c r="X108" s="20"/>
      <x:c r="Y108" s="20"/>
      <x:c r="Z108" s="20"/>
    </x:row>
    <x:row r="109">
      <x:c r="A109" s="20"/>
      <x:c r="B109" s="20"/>
      <x:c r="C109" s="20"/>
      <x:c r="D109" s="20"/>
      <x:c r="E109" s="20"/>
      <x:c r="F109" s="20"/>
      <x:c r="G109" s="20"/>
      <x:c r="H109" s="20"/>
      <x:c r="I109" s="20"/>
      <x:c r="J109" s="20"/>
      <x:c r="K109" s="20"/>
      <x:c r="L109" s="20"/>
      <x:c r="M109" s="20"/>
      <x:c r="N109" s="20"/>
      <x:c r="O109" s="20"/>
      <x:c r="P109" s="20"/>
      <x:c r="Q109" s="20"/>
      <x:c r="R109" s="20"/>
      <x:c r="S109" s="20"/>
      <x:c r="T109" s="20"/>
      <x:c r="U109" s="20"/>
      <x:c r="V109" s="20"/>
      <x:c r="W109" s="20"/>
      <x:c r="X109" s="20"/>
      <x:c r="Y109" s="20"/>
      <x:c r="Z109" s="20"/>
    </x:row>
    <x:row r="110">
      <x:c r="A110" s="20"/>
      <x:c r="B110" s="20"/>
      <x:c r="C110" s="20"/>
      <x:c r="D110" s="20"/>
      <x:c r="E110" s="20"/>
      <x:c r="F110" s="20"/>
      <x:c r="G110" s="20"/>
      <x:c r="H110" s="20"/>
      <x:c r="I110" s="20"/>
      <x:c r="J110" s="20"/>
      <x:c r="K110" s="20"/>
      <x:c r="L110" s="20"/>
      <x:c r="M110" s="20"/>
      <x:c r="N110" s="20"/>
      <x:c r="O110" s="20"/>
      <x:c r="P110" s="20"/>
      <x:c r="Q110" s="20"/>
      <x:c r="R110" s="20"/>
      <x:c r="S110" s="20"/>
      <x:c r="T110" s="20"/>
      <x:c r="U110" s="20"/>
      <x:c r="V110" s="20"/>
      <x:c r="W110" s="20"/>
      <x:c r="X110" s="20"/>
      <x:c r="Y110" s="20"/>
      <x:c r="Z110" s="20"/>
    </x:row>
    <x:row r="111">
      <x:c r="A111" s="20"/>
      <x:c r="B111" s="20"/>
      <x:c r="C111" s="20"/>
      <x:c r="D111" s="20"/>
      <x:c r="E111" s="20"/>
      <x:c r="F111" s="20"/>
      <x:c r="G111" s="20"/>
      <x:c r="H111" s="20"/>
      <x:c r="I111" s="20"/>
      <x:c r="J111" s="20"/>
      <x:c r="K111" s="20"/>
      <x:c r="L111" s="20"/>
      <x:c r="M111" s="20"/>
      <x:c r="N111" s="20"/>
      <x:c r="O111" s="20"/>
      <x:c r="P111" s="20"/>
      <x:c r="Q111" s="20"/>
      <x:c r="R111" s="20"/>
      <x:c r="S111" s="20"/>
      <x:c r="T111" s="20"/>
      <x:c r="U111" s="20"/>
      <x:c r="V111" s="20"/>
      <x:c r="W111" s="20"/>
      <x:c r="X111" s="20"/>
      <x:c r="Y111" s="20"/>
      <x:c r="Z111" s="20"/>
    </x:row>
    <x:row r="112">
      <x:c r="A112" s="20"/>
      <x:c r="B112" s="20"/>
      <x:c r="C112" s="20"/>
      <x:c r="D112" s="20"/>
      <x:c r="E112" s="20"/>
      <x:c r="F112" s="20"/>
      <x:c r="G112" s="20"/>
      <x:c r="H112" s="20"/>
      <x:c r="I112" s="20"/>
      <x:c r="J112" s="20"/>
      <x:c r="K112" s="20"/>
      <x:c r="L112" s="20"/>
      <x:c r="M112" s="20"/>
      <x:c r="N112" s="20"/>
      <x:c r="O112" s="20"/>
      <x:c r="P112" s="20"/>
      <x:c r="Q112" s="20"/>
      <x:c r="R112" s="20"/>
      <x:c r="S112" s="20"/>
      <x:c r="T112" s="20"/>
      <x:c r="U112" s="20"/>
      <x:c r="V112" s="20"/>
      <x:c r="W112" s="20"/>
      <x:c r="X112" s="20"/>
      <x:c r="Y112" s="20"/>
      <x:c r="Z112" s="20"/>
    </x:row>
    <x:row r="113">
      <x:c r="A113" s="20"/>
      <x:c r="B113" s="20"/>
      <x:c r="C113" s="20"/>
      <x:c r="D113" s="20"/>
      <x:c r="E113" s="20"/>
      <x:c r="F113" s="20"/>
      <x:c r="G113" s="20"/>
      <x:c r="H113" s="20"/>
      <x:c r="I113" s="20"/>
      <x:c r="J113" s="20"/>
      <x:c r="K113" s="20"/>
      <x:c r="L113" s="20"/>
      <x:c r="M113" s="20"/>
      <x:c r="N113" s="20"/>
      <x:c r="O113" s="20"/>
      <x:c r="P113" s="20"/>
      <x:c r="Q113" s="20"/>
      <x:c r="R113" s="20"/>
      <x:c r="S113" s="20"/>
      <x:c r="T113" s="20"/>
      <x:c r="U113" s="20"/>
      <x:c r="V113" s="20"/>
      <x:c r="W113" s="20"/>
      <x:c r="X113" s="20"/>
      <x:c r="Y113" s="20"/>
      <x:c r="Z113" s="20"/>
    </x:row>
    <x:row r="114">
      <x:c r="A114" s="20"/>
      <x:c r="B114" s="20"/>
      <x:c r="C114" s="20"/>
      <x:c r="D114" s="20"/>
      <x:c r="E114" s="20"/>
      <x:c r="F114" s="20"/>
      <x:c r="G114" s="20"/>
      <x:c r="H114" s="20"/>
      <x:c r="I114" s="20"/>
      <x:c r="J114" s="20"/>
      <x:c r="K114" s="20"/>
      <x:c r="L114" s="20"/>
      <x:c r="M114" s="20"/>
      <x:c r="N114" s="20"/>
      <x:c r="O114" s="20"/>
      <x:c r="P114" s="20"/>
      <x:c r="Q114" s="20"/>
      <x:c r="R114" s="20"/>
      <x:c r="S114" s="20"/>
      <x:c r="T114" s="20"/>
      <x:c r="U114" s="20"/>
      <x:c r="V114" s="20"/>
      <x:c r="W114" s="20"/>
      <x:c r="X114" s="20"/>
      <x:c r="Y114" s="20"/>
      <x:c r="Z114" s="20"/>
    </x:row>
    <x:row r="115">
      <x:c r="A115" s="20"/>
      <x:c r="B115" s="20"/>
      <x:c r="C115" s="20"/>
      <x:c r="D115" s="20"/>
      <x:c r="E115" s="20"/>
      <x:c r="F115" s="20"/>
      <x:c r="G115" s="20"/>
      <x:c r="H115" s="20"/>
      <x:c r="I115" s="20"/>
      <x:c r="J115" s="20"/>
      <x:c r="K115" s="20"/>
      <x:c r="L115" s="20"/>
      <x:c r="M115" s="20"/>
      <x:c r="N115" s="20"/>
      <x:c r="O115" s="20"/>
      <x:c r="P115" s="20"/>
      <x:c r="Q115" s="20"/>
      <x:c r="R115" s="20"/>
      <x:c r="S115" s="20"/>
      <x:c r="T115" s="20"/>
      <x:c r="U115" s="20"/>
      <x:c r="V115" s="20"/>
      <x:c r="W115" s="20"/>
      <x:c r="X115" s="20"/>
      <x:c r="Y115" s="20"/>
      <x:c r="Z115" s="20"/>
    </x:row>
    <x:row r="116">
      <x:c r="A116" s="20"/>
      <x:c r="B116" s="20"/>
      <x:c r="C116" s="20"/>
      <x:c r="D116" s="20"/>
      <x:c r="E116" s="20"/>
      <x:c r="F116" s="20"/>
      <x:c r="G116" s="20"/>
      <x:c r="H116" s="20"/>
      <x:c r="I116" s="20"/>
      <x:c r="J116" s="20"/>
      <x:c r="K116" s="20"/>
      <x:c r="L116" s="20"/>
      <x:c r="M116" s="20"/>
      <x:c r="N116" s="20"/>
      <x:c r="O116" s="20"/>
      <x:c r="P116" s="20"/>
      <x:c r="Q116" s="20"/>
      <x:c r="R116" s="20"/>
      <x:c r="S116" s="20"/>
      <x:c r="T116" s="20"/>
      <x:c r="U116" s="20"/>
      <x:c r="V116" s="20"/>
      <x:c r="W116" s="20"/>
      <x:c r="X116" s="20"/>
      <x:c r="Y116" s="20"/>
      <x:c r="Z116" s="20"/>
    </x:row>
    <x:row r="117">
      <x:c r="A117" s="20"/>
      <x:c r="B117" s="20"/>
      <x:c r="C117" s="20"/>
      <x:c r="D117" s="20"/>
      <x:c r="E117" s="20"/>
      <x:c r="F117" s="20"/>
      <x:c r="G117" s="20"/>
      <x:c r="H117" s="20"/>
      <x:c r="I117" s="20"/>
      <x:c r="J117" s="20"/>
      <x:c r="K117" s="20"/>
      <x:c r="L117" s="20"/>
      <x:c r="M117" s="20"/>
      <x:c r="N117" s="20"/>
      <x:c r="O117" s="20"/>
      <x:c r="P117" s="20"/>
      <x:c r="Q117" s="20"/>
      <x:c r="R117" s="20"/>
      <x:c r="S117" s="20"/>
      <x:c r="T117" s="20"/>
      <x:c r="U117" s="20"/>
      <x:c r="V117" s="20"/>
      <x:c r="W117" s="20"/>
      <x:c r="X117" s="20"/>
      <x:c r="Y117" s="20"/>
      <x:c r="Z117" s="20"/>
    </x:row>
    <x:row r="118">
      <x:c r="A118" s="20"/>
      <x:c r="B118" s="20"/>
      <x:c r="C118" s="20"/>
      <x:c r="D118" s="20"/>
      <x:c r="E118" s="20"/>
      <x:c r="F118" s="20"/>
      <x:c r="G118" s="20"/>
      <x:c r="H118" s="20"/>
      <x:c r="I118" s="20"/>
      <x:c r="J118" s="20"/>
      <x:c r="K118" s="20"/>
      <x:c r="L118" s="20"/>
      <x:c r="M118" s="20"/>
      <x:c r="N118" s="20"/>
      <x:c r="O118" s="20"/>
      <x:c r="P118" s="20"/>
      <x:c r="Q118" s="20"/>
      <x:c r="R118" s="20"/>
      <x:c r="S118" s="20"/>
      <x:c r="T118" s="20"/>
      <x:c r="U118" s="20"/>
      <x:c r="V118" s="20"/>
      <x:c r="W118" s="20"/>
      <x:c r="X118" s="20"/>
      <x:c r="Y118" s="20"/>
      <x:c r="Z118" s="20"/>
    </x:row>
    <x:row r="119">
      <x:c r="A119" s="20"/>
      <x:c r="B119" s="20"/>
      <x:c r="C119" s="20"/>
      <x:c r="D119" s="20"/>
      <x:c r="E119" s="20"/>
      <x:c r="F119" s="20"/>
      <x:c r="G119" s="20"/>
      <x:c r="H119" s="20"/>
      <x:c r="I119" s="20"/>
      <x:c r="J119" s="20"/>
      <x:c r="K119" s="20"/>
      <x:c r="L119" s="20"/>
      <x:c r="M119" s="20"/>
      <x:c r="N119" s="20"/>
      <x:c r="O119" s="20"/>
      <x:c r="P119" s="20"/>
      <x:c r="Q119" s="20"/>
      <x:c r="R119" s="20"/>
      <x:c r="S119" s="20"/>
      <x:c r="T119" s="20"/>
      <x:c r="U119" s="20"/>
      <x:c r="V119" s="20"/>
      <x:c r="W119" s="20"/>
      <x:c r="X119" s="20"/>
      <x:c r="Y119" s="20"/>
      <x:c r="Z119" s="20"/>
    </x:row>
    <x:row r="120">
      <x:c r="A120" s="20"/>
      <x:c r="B120" s="20"/>
      <x:c r="C120" s="20"/>
      <x:c r="D120" s="20"/>
      <x:c r="E120" s="20"/>
      <x:c r="F120" s="20"/>
      <x:c r="G120" s="20"/>
      <x:c r="H120" s="20"/>
      <x:c r="I120" s="20"/>
      <x:c r="J120" s="20"/>
      <x:c r="K120" s="20"/>
      <x:c r="L120" s="20"/>
      <x:c r="M120" s="20"/>
      <x:c r="N120" s="20"/>
      <x:c r="O120" s="20"/>
      <x:c r="P120" s="20"/>
      <x:c r="Q120" s="20"/>
      <x:c r="R120" s="20"/>
      <x:c r="S120" s="20"/>
      <x:c r="T120" s="20"/>
      <x:c r="U120" s="20"/>
      <x:c r="V120" s="20"/>
      <x:c r="W120" s="20"/>
      <x:c r="X120" s="20"/>
      <x:c r="Y120" s="20"/>
      <x:c r="Z120" s="20"/>
    </x:row>
    <x:row r="121">
      <x:c r="A121" s="20"/>
      <x:c r="B121" s="20"/>
      <x:c r="C121" s="20"/>
      <x:c r="D121" s="20"/>
      <x:c r="E121" s="20"/>
      <x:c r="F121" s="20"/>
      <x:c r="G121" s="20"/>
      <x:c r="H121" s="20"/>
      <x:c r="I121" s="20"/>
      <x:c r="J121" s="20"/>
      <x:c r="K121" s="20"/>
      <x:c r="L121" s="20"/>
      <x:c r="M121" s="20"/>
      <x:c r="N121" s="20"/>
      <x:c r="O121" s="20"/>
      <x:c r="P121" s="20"/>
      <x:c r="Q121" s="20"/>
      <x:c r="R121" s="20"/>
      <x:c r="S121" s="20"/>
      <x:c r="T121" s="20"/>
      <x:c r="U121" s="20"/>
      <x:c r="V121" s="20"/>
      <x:c r="W121" s="20"/>
      <x:c r="X121" s="20"/>
      <x:c r="Y121" s="20"/>
      <x:c r="Z121" s="20"/>
    </x:row>
    <x:row r="122">
      <x:c r="A122" s="20"/>
      <x:c r="B122" s="20"/>
      <x:c r="C122" s="20"/>
      <x:c r="D122" s="20"/>
      <x:c r="E122" s="20"/>
      <x:c r="F122" s="20"/>
      <x:c r="G122" s="20"/>
      <x:c r="H122" s="20"/>
      <x:c r="I122" s="20"/>
      <x:c r="J122" s="20"/>
      <x:c r="K122" s="20"/>
      <x:c r="L122" s="20"/>
      <x:c r="M122" s="20"/>
      <x:c r="N122" s="20"/>
      <x:c r="O122" s="20"/>
      <x:c r="P122" s="20"/>
      <x:c r="Q122" s="20"/>
      <x:c r="R122" s="20"/>
      <x:c r="S122" s="20"/>
      <x:c r="T122" s="20"/>
      <x:c r="U122" s="20"/>
      <x:c r="V122" s="20"/>
      <x:c r="W122" s="20"/>
      <x:c r="X122" s="20"/>
      <x:c r="Y122" s="20"/>
      <x:c r="Z122" s="20"/>
    </x:row>
    <x:row r="123">
      <x:c r="A123" s="20"/>
      <x:c r="B123" s="20"/>
      <x:c r="C123" s="20"/>
      <x:c r="D123" s="20"/>
      <x:c r="E123" s="20"/>
      <x:c r="F123" s="20"/>
      <x:c r="G123" s="20"/>
      <x:c r="H123" s="20"/>
      <x:c r="I123" s="20"/>
      <x:c r="J123" s="20"/>
      <x:c r="K123" s="20"/>
      <x:c r="L123" s="20"/>
      <x:c r="M123" s="20"/>
      <x:c r="N123" s="20"/>
      <x:c r="O123" s="20"/>
      <x:c r="P123" s="20"/>
      <x:c r="Q123" s="20"/>
      <x:c r="R123" s="20"/>
      <x:c r="S123" s="20"/>
      <x:c r="T123" s="20"/>
      <x:c r="U123" s="20"/>
      <x:c r="V123" s="20"/>
      <x:c r="W123" s="20"/>
      <x:c r="X123" s="20"/>
      <x:c r="Y123" s="20"/>
      <x:c r="Z123" s="20"/>
    </x:row>
    <x:row r="124">
      <x:c r="A124" s="20"/>
      <x:c r="B124" s="20"/>
      <x:c r="C124" s="20"/>
      <x:c r="D124" s="20"/>
      <x:c r="E124" s="20"/>
      <x:c r="F124" s="20"/>
      <x:c r="G124" s="20"/>
      <x:c r="H124" s="20"/>
      <x:c r="I124" s="20"/>
      <x:c r="J124" s="20"/>
      <x:c r="K124" s="20"/>
      <x:c r="L124" s="20"/>
      <x:c r="M124" s="20"/>
      <x:c r="N124" s="20"/>
      <x:c r="O124" s="20"/>
      <x:c r="P124" s="20"/>
      <x:c r="Q124" s="20"/>
      <x:c r="R124" s="20"/>
      <x:c r="S124" s="20"/>
      <x:c r="T124" s="20"/>
      <x:c r="U124" s="20"/>
      <x:c r="V124" s="20"/>
      <x:c r="W124" s="20"/>
      <x:c r="X124" s="20"/>
      <x:c r="Y124" s="20"/>
      <x:c r="Z124" s="20"/>
    </x:row>
    <x:row r="125">
      <x:c r="A125" s="20"/>
      <x:c r="B125" s="20"/>
      <x:c r="C125" s="20"/>
      <x:c r="D125" s="20"/>
      <x:c r="E125" s="20"/>
      <x:c r="F125" s="20"/>
      <x:c r="G125" s="20"/>
      <x:c r="H125" s="20"/>
      <x:c r="I125" s="20"/>
      <x:c r="J125" s="20"/>
      <x:c r="K125" s="20"/>
      <x:c r="L125" s="20"/>
      <x:c r="M125" s="20"/>
      <x:c r="N125" s="20"/>
      <x:c r="O125" s="20"/>
      <x:c r="P125" s="20"/>
      <x:c r="Q125" s="20"/>
      <x:c r="R125" s="20"/>
      <x:c r="S125" s="20"/>
      <x:c r="T125" s="20"/>
      <x:c r="U125" s="20"/>
      <x:c r="V125" s="20"/>
      <x:c r="W125" s="20"/>
      <x:c r="X125" s="20"/>
      <x:c r="Y125" s="20"/>
      <x:c r="Z125" s="20"/>
    </x:row>
    <x:row r="126">
      <x:c r="A126" s="20"/>
      <x:c r="B126" s="20"/>
      <x:c r="C126" s="20"/>
      <x:c r="D126" s="20"/>
      <x:c r="E126" s="20"/>
      <x:c r="F126" s="20"/>
      <x:c r="G126" s="20"/>
      <x:c r="H126" s="20"/>
      <x:c r="I126" s="20"/>
      <x:c r="J126" s="20"/>
      <x:c r="K126" s="20"/>
      <x:c r="L126" s="20"/>
      <x:c r="M126" s="20"/>
      <x:c r="N126" s="20"/>
      <x:c r="O126" s="20"/>
      <x:c r="P126" s="20"/>
      <x:c r="Q126" s="20"/>
      <x:c r="R126" s="20"/>
      <x:c r="S126" s="20"/>
      <x:c r="T126" s="20"/>
      <x:c r="U126" s="20"/>
      <x:c r="V126" s="20"/>
      <x:c r="W126" s="20"/>
      <x:c r="X126" s="20"/>
      <x:c r="Y126" s="20"/>
      <x:c r="Z126" s="20"/>
    </x:row>
    <x:row r="127">
      <x:c r="A127" s="20"/>
      <x:c r="B127" s="20"/>
      <x:c r="C127" s="20"/>
      <x:c r="D127" s="20"/>
      <x:c r="E127" s="20"/>
      <x:c r="F127" s="20"/>
      <x:c r="G127" s="20"/>
      <x:c r="H127" s="20"/>
      <x:c r="I127" s="20"/>
      <x:c r="J127" s="20"/>
      <x:c r="K127" s="20"/>
      <x:c r="L127" s="20"/>
      <x:c r="M127" s="20"/>
      <x:c r="N127" s="20"/>
      <x:c r="O127" s="20"/>
      <x:c r="P127" s="20"/>
      <x:c r="Q127" s="20"/>
      <x:c r="R127" s="20"/>
      <x:c r="S127" s="20"/>
      <x:c r="T127" s="20"/>
      <x:c r="U127" s="20"/>
      <x:c r="V127" s="20"/>
      <x:c r="W127" s="20"/>
      <x:c r="X127" s="20"/>
      <x:c r="Y127" s="20"/>
      <x:c r="Z127" s="20"/>
    </x:row>
    <x:row r="128">
      <x:c r="A128" s="20"/>
      <x:c r="B128" s="20"/>
      <x:c r="C128" s="20"/>
      <x:c r="D128" s="20"/>
      <x:c r="E128" s="20"/>
      <x:c r="F128" s="20"/>
      <x:c r="G128" s="20"/>
      <x:c r="H128" s="20"/>
      <x:c r="I128" s="20"/>
      <x:c r="J128" s="20"/>
      <x:c r="K128" s="20"/>
      <x:c r="L128" s="20"/>
      <x:c r="M128" s="20"/>
      <x:c r="N128" s="20"/>
      <x:c r="O128" s="20"/>
      <x:c r="P128" s="20"/>
      <x:c r="Q128" s="20"/>
      <x:c r="R128" s="20"/>
      <x:c r="S128" s="20"/>
      <x:c r="T128" s="20"/>
      <x:c r="U128" s="20"/>
      <x:c r="V128" s="20"/>
      <x:c r="W128" s="20"/>
      <x:c r="X128" s="20"/>
      <x:c r="Y128" s="20"/>
      <x:c r="Z128" s="20"/>
    </x:row>
    <x:row r="129">
      <x:c r="A129" s="20"/>
      <x:c r="B129" s="20"/>
      <x:c r="C129" s="20"/>
      <x:c r="D129" s="20"/>
      <x:c r="E129" s="20"/>
      <x:c r="F129" s="20"/>
      <x:c r="G129" s="20"/>
      <x:c r="H129" s="20"/>
      <x:c r="I129" s="20"/>
      <x:c r="J129" s="20"/>
      <x:c r="K129" s="20"/>
      <x:c r="L129" s="20"/>
      <x:c r="M129" s="20"/>
      <x:c r="N129" s="20"/>
      <x:c r="O129" s="20"/>
      <x:c r="P129" s="20"/>
      <x:c r="Q129" s="20"/>
      <x:c r="R129" s="20"/>
      <x:c r="S129" s="20"/>
      <x:c r="T129" s="20"/>
      <x:c r="U129" s="20"/>
      <x:c r="V129" s="20"/>
      <x:c r="W129" s="20"/>
      <x:c r="X129" s="20"/>
      <x:c r="Y129" s="20"/>
      <x:c r="Z129" s="20"/>
    </x:row>
    <x:row r="130">
      <x:c r="A130" s="20"/>
      <x:c r="B130" s="20"/>
      <x:c r="C130" s="20"/>
      <x:c r="D130" s="20"/>
      <x:c r="E130" s="20"/>
      <x:c r="F130" s="20"/>
      <x:c r="G130" s="20"/>
      <x:c r="H130" s="20"/>
      <x:c r="I130" s="20"/>
      <x:c r="J130" s="20"/>
      <x:c r="K130" s="20"/>
      <x:c r="L130" s="20"/>
      <x:c r="M130" s="20"/>
      <x:c r="N130" s="20"/>
      <x:c r="O130" s="20"/>
      <x:c r="P130" s="20"/>
      <x:c r="Q130" s="20"/>
      <x:c r="R130" s="20"/>
      <x:c r="S130" s="20"/>
      <x:c r="T130" s="20"/>
      <x:c r="U130" s="20"/>
      <x:c r="V130" s="20"/>
      <x:c r="W130" s="20"/>
      <x:c r="X130" s="20"/>
      <x:c r="Y130" s="20"/>
      <x:c r="Z130" s="20"/>
    </x:row>
    <x:row r="131">
      <x:c r="A131" s="20"/>
      <x:c r="B131" s="20"/>
      <x:c r="C131" s="20"/>
      <x:c r="D131" s="20"/>
      <x:c r="E131" s="20"/>
      <x:c r="F131" s="20"/>
      <x:c r="G131" s="20"/>
      <x:c r="H131" s="20"/>
      <x:c r="I131" s="20"/>
      <x:c r="J131" s="20"/>
      <x:c r="K131" s="20"/>
      <x:c r="L131" s="20"/>
      <x:c r="M131" s="20"/>
      <x:c r="N131" s="20"/>
      <x:c r="O131" s="20"/>
      <x:c r="P131" s="20"/>
      <x:c r="Q131" s="20"/>
      <x:c r="R131" s="20"/>
      <x:c r="S131" s="20"/>
      <x:c r="T131" s="20"/>
      <x:c r="U131" s="20"/>
      <x:c r="V131" s="20"/>
      <x:c r="W131" s="20"/>
      <x:c r="X131" s="20"/>
      <x:c r="Y131" s="20"/>
      <x:c r="Z131" s="20"/>
    </x:row>
    <x:row r="132">
      <x:c r="A132" s="20"/>
      <x:c r="B132" s="20"/>
      <x:c r="C132" s="20"/>
      <x:c r="D132" s="20"/>
      <x:c r="E132" s="20"/>
      <x:c r="F132" s="20"/>
      <x:c r="G132" s="20"/>
      <x:c r="H132" s="20"/>
      <x:c r="I132" s="20"/>
      <x:c r="J132" s="20"/>
      <x:c r="K132" s="20"/>
      <x:c r="L132" s="20"/>
      <x:c r="M132" s="20"/>
      <x:c r="N132" s="20"/>
      <x:c r="O132" s="20"/>
      <x:c r="P132" s="20"/>
      <x:c r="Q132" s="20"/>
      <x:c r="R132" s="20"/>
      <x:c r="S132" s="20"/>
      <x:c r="T132" s="20"/>
      <x:c r="U132" s="20"/>
      <x:c r="V132" s="20"/>
      <x:c r="W132" s="20"/>
      <x:c r="X132" s="20"/>
      <x:c r="Y132" s="20"/>
      <x:c r="Z132" s="20"/>
    </x:row>
    <x:row r="133">
      <x:c r="A133" s="20"/>
      <x:c r="B133" s="20"/>
      <x:c r="C133" s="20"/>
      <x:c r="D133" s="20"/>
      <x:c r="E133" s="20"/>
      <x:c r="F133" s="20"/>
      <x:c r="G133" s="20"/>
      <x:c r="H133" s="20"/>
      <x:c r="I133" s="20"/>
      <x:c r="J133" s="20"/>
      <x:c r="K133" s="20"/>
      <x:c r="L133" s="20"/>
      <x:c r="M133" s="20"/>
      <x:c r="N133" s="20"/>
      <x:c r="O133" s="20"/>
      <x:c r="P133" s="20"/>
      <x:c r="Q133" s="20"/>
      <x:c r="R133" s="20"/>
      <x:c r="S133" s="20"/>
      <x:c r="T133" s="20"/>
      <x:c r="U133" s="20"/>
      <x:c r="V133" s="20"/>
      <x:c r="W133" s="20"/>
      <x:c r="X133" s="20"/>
      <x:c r="Y133" s="20"/>
      <x:c r="Z133" s="20"/>
    </x:row>
    <x:row r="134">
      <x:c r="A134" s="20"/>
      <x:c r="B134" s="20"/>
      <x:c r="C134" s="20"/>
      <x:c r="D134" s="20"/>
      <x:c r="E134" s="20"/>
      <x:c r="F134" s="20"/>
      <x:c r="G134" s="20"/>
      <x:c r="H134" s="20"/>
      <x:c r="I134" s="20"/>
      <x:c r="J134" s="20"/>
      <x:c r="K134" s="20"/>
      <x:c r="L134" s="20"/>
      <x:c r="M134" s="20"/>
      <x:c r="N134" s="20"/>
      <x:c r="O134" s="20"/>
      <x:c r="P134" s="20"/>
      <x:c r="Q134" s="20"/>
      <x:c r="R134" s="20"/>
      <x:c r="S134" s="20"/>
      <x:c r="T134" s="20"/>
      <x:c r="U134" s="20"/>
      <x:c r="V134" s="20"/>
      <x:c r="W134" s="20"/>
      <x:c r="X134" s="20"/>
      <x:c r="Y134" s="20"/>
      <x:c r="Z134" s="20"/>
    </x:row>
    <x:row r="135">
      <x:c r="A135" s="20"/>
      <x:c r="B135" s="20"/>
      <x:c r="C135" s="20"/>
      <x:c r="D135" s="20"/>
      <x:c r="E135" s="20"/>
      <x:c r="F135" s="20"/>
      <x:c r="G135" s="20"/>
      <x:c r="H135" s="20"/>
      <x:c r="I135" s="20"/>
      <x:c r="J135" s="20"/>
      <x:c r="K135" s="20"/>
      <x:c r="L135" s="20"/>
      <x:c r="M135" s="20"/>
      <x:c r="N135" s="20"/>
      <x:c r="O135" s="20"/>
      <x:c r="P135" s="20"/>
      <x:c r="Q135" s="20"/>
      <x:c r="R135" s="20"/>
      <x:c r="S135" s="20"/>
      <x:c r="T135" s="20"/>
      <x:c r="U135" s="20"/>
      <x:c r="V135" s="20"/>
      <x:c r="W135" s="20"/>
      <x:c r="X135" s="20"/>
      <x:c r="Y135" s="20"/>
      <x:c r="Z135" s="20"/>
    </x:row>
    <x:row r="136">
      <x:c r="A136" s="20"/>
      <x:c r="B136" s="20"/>
      <x:c r="C136" s="20"/>
      <x:c r="D136" s="20"/>
      <x:c r="E136" s="20"/>
      <x:c r="F136" s="20"/>
      <x:c r="G136" s="20"/>
      <x:c r="H136" s="20"/>
      <x:c r="I136" s="20"/>
      <x:c r="J136" s="20"/>
      <x:c r="K136" s="20"/>
      <x:c r="L136" s="20"/>
      <x:c r="M136" s="20"/>
      <x:c r="N136" s="20"/>
      <x:c r="O136" s="20"/>
      <x:c r="P136" s="20"/>
      <x:c r="Q136" s="20"/>
      <x:c r="R136" s="20"/>
      <x:c r="S136" s="20"/>
      <x:c r="T136" s="20"/>
      <x:c r="U136" s="20"/>
      <x:c r="V136" s="20"/>
      <x:c r="W136" s="20"/>
      <x:c r="X136" s="20"/>
      <x:c r="Y136" s="20"/>
      <x:c r="Z136" s="20"/>
    </x:row>
    <x:row r="137">
      <x:c r="A137" s="20"/>
      <x:c r="B137" s="20"/>
      <x:c r="C137" s="20"/>
      <x:c r="D137" s="20"/>
      <x:c r="E137" s="20"/>
      <x:c r="F137" s="20"/>
      <x:c r="G137" s="20"/>
      <x:c r="H137" s="20"/>
      <x:c r="I137" s="20"/>
      <x:c r="J137" s="20"/>
      <x:c r="K137" s="20"/>
      <x:c r="L137" s="20"/>
      <x:c r="M137" s="20"/>
      <x:c r="N137" s="20"/>
      <x:c r="O137" s="20"/>
      <x:c r="P137" s="20"/>
      <x:c r="Q137" s="20"/>
      <x:c r="R137" s="20"/>
      <x:c r="S137" s="20"/>
      <x:c r="T137" s="20"/>
      <x:c r="U137" s="20"/>
      <x:c r="V137" s="20"/>
      <x:c r="W137" s="20"/>
      <x:c r="X137" s="20"/>
      <x:c r="Y137" s="20"/>
      <x:c r="Z137" s="20"/>
    </x:row>
    <x:row r="138">
      <x:c r="A138" s="20"/>
      <x:c r="B138" s="20"/>
      <x:c r="C138" s="20"/>
      <x:c r="D138" s="20"/>
      <x:c r="E138" s="20"/>
      <x:c r="F138" s="20"/>
      <x:c r="G138" s="20"/>
      <x:c r="H138" s="20"/>
      <x:c r="I138" s="20"/>
      <x:c r="J138" s="20"/>
      <x:c r="K138" s="20"/>
      <x:c r="L138" s="20"/>
      <x:c r="M138" s="20"/>
      <x:c r="N138" s="20"/>
      <x:c r="O138" s="20"/>
      <x:c r="P138" s="20"/>
      <x:c r="Q138" s="20"/>
      <x:c r="R138" s="20"/>
      <x:c r="S138" s="20"/>
      <x:c r="T138" s="20"/>
      <x:c r="U138" s="20"/>
      <x:c r="V138" s="20"/>
      <x:c r="W138" s="20"/>
      <x:c r="X138" s="20"/>
      <x:c r="Y138" s="20"/>
      <x:c r="Z138" s="20"/>
    </x:row>
    <x:row r="139">
      <x:c r="A139" s="20"/>
      <x:c r="B139" s="20"/>
      <x:c r="C139" s="20"/>
      <x:c r="D139" s="20"/>
      <x:c r="E139" s="20"/>
      <x:c r="F139" s="20"/>
      <x:c r="G139" s="20"/>
      <x:c r="H139" s="20"/>
      <x:c r="I139" s="20"/>
      <x:c r="J139" s="20"/>
      <x:c r="K139" s="20"/>
      <x:c r="L139" s="20"/>
      <x:c r="M139" s="20"/>
      <x:c r="N139" s="20"/>
      <x:c r="O139" s="20"/>
      <x:c r="P139" s="20"/>
      <x:c r="Q139" s="20"/>
      <x:c r="R139" s="20"/>
      <x:c r="S139" s="20"/>
      <x:c r="T139" s="20"/>
      <x:c r="U139" s="20"/>
      <x:c r="V139" s="20"/>
      <x:c r="W139" s="20"/>
      <x:c r="X139" s="20"/>
      <x:c r="Y139" s="20"/>
      <x:c r="Z139" s="20"/>
    </x:row>
    <x:row r="140">
      <x:c r="A140" s="20"/>
      <x:c r="B140" s="20"/>
      <x:c r="C140" s="20"/>
      <x:c r="D140" s="20"/>
      <x:c r="E140" s="20"/>
      <x:c r="F140" s="20"/>
      <x:c r="G140" s="20"/>
      <x:c r="H140" s="20"/>
      <x:c r="I140" s="20"/>
      <x:c r="J140" s="20"/>
      <x:c r="K140" s="20"/>
      <x:c r="L140" s="20"/>
      <x:c r="M140" s="20"/>
      <x:c r="N140" s="20"/>
      <x:c r="O140" s="20"/>
      <x:c r="P140" s="20"/>
      <x:c r="Q140" s="20"/>
      <x:c r="R140" s="20"/>
      <x:c r="S140" s="20"/>
      <x:c r="T140" s="20"/>
      <x:c r="U140" s="20"/>
      <x:c r="V140" s="20"/>
      <x:c r="W140" s="20"/>
      <x:c r="X140" s="20"/>
      <x:c r="Y140" s="20"/>
      <x:c r="Z140" s="20"/>
    </x:row>
    <x:row r="141">
      <x:c r="A141" s="20"/>
      <x:c r="B141" s="20"/>
      <x:c r="C141" s="20"/>
      <x:c r="D141" s="20"/>
      <x:c r="E141" s="20"/>
      <x:c r="F141" s="20"/>
      <x:c r="G141" s="20"/>
      <x:c r="H141" s="20"/>
      <x:c r="I141" s="20"/>
      <x:c r="J141" s="20"/>
      <x:c r="K141" s="20"/>
      <x:c r="L141" s="20"/>
      <x:c r="M141" s="20"/>
      <x:c r="N141" s="20"/>
      <x:c r="O141" s="20"/>
      <x:c r="P141" s="20"/>
      <x:c r="Q141" s="20"/>
      <x:c r="R141" s="20"/>
      <x:c r="S141" s="20"/>
      <x:c r="T141" s="20"/>
      <x:c r="U141" s="20"/>
      <x:c r="V141" s="20"/>
      <x:c r="W141" s="20"/>
      <x:c r="X141" s="20"/>
      <x:c r="Y141" s="20"/>
      <x:c r="Z141" s="20"/>
    </x:row>
    <x:row r="142">
      <x:c r="A142" s="20"/>
      <x:c r="B142" s="20"/>
      <x:c r="C142" s="20"/>
      <x:c r="D142" s="20"/>
      <x:c r="E142" s="20"/>
      <x:c r="F142" s="20"/>
      <x:c r="G142" s="20"/>
      <x:c r="H142" s="20"/>
      <x:c r="I142" s="20"/>
      <x:c r="J142" s="20"/>
      <x:c r="K142" s="20"/>
      <x:c r="L142" s="20"/>
      <x:c r="M142" s="20"/>
      <x:c r="N142" s="20"/>
      <x:c r="O142" s="20"/>
      <x:c r="P142" s="20"/>
      <x:c r="Q142" s="20"/>
      <x:c r="R142" s="20"/>
      <x:c r="S142" s="20"/>
      <x:c r="T142" s="20"/>
      <x:c r="U142" s="20"/>
      <x:c r="V142" s="20"/>
      <x:c r="W142" s="20"/>
      <x:c r="X142" s="20"/>
      <x:c r="Y142" s="20"/>
      <x:c r="Z142" s="20"/>
    </x:row>
    <x:row r="143">
      <x:c r="A143" s="20"/>
      <x:c r="B143" s="20"/>
      <x:c r="C143" s="20"/>
      <x:c r="D143" s="20"/>
      <x:c r="E143" s="20"/>
      <x:c r="F143" s="20"/>
      <x:c r="G143" s="20"/>
      <x:c r="H143" s="20"/>
      <x:c r="I143" s="20"/>
      <x:c r="J143" s="20"/>
      <x:c r="K143" s="20"/>
      <x:c r="L143" s="20"/>
      <x:c r="M143" s="20"/>
      <x:c r="N143" s="20"/>
      <x:c r="O143" s="20"/>
      <x:c r="P143" s="20"/>
      <x:c r="Q143" s="20"/>
      <x:c r="R143" s="20"/>
      <x:c r="S143" s="20"/>
      <x:c r="T143" s="20"/>
      <x:c r="U143" s="20"/>
      <x:c r="V143" s="20"/>
      <x:c r="W143" s="20"/>
      <x:c r="X143" s="20"/>
      <x:c r="Y143" s="20"/>
      <x:c r="Z143" s="20"/>
    </x:row>
    <x:row r="144">
      <x:c r="A144" s="20"/>
      <x:c r="B144" s="20"/>
      <x:c r="C144" s="20"/>
      <x:c r="D144" s="20"/>
      <x:c r="E144" s="20"/>
      <x:c r="F144" s="20"/>
      <x:c r="G144" s="20"/>
      <x:c r="H144" s="20"/>
      <x:c r="I144" s="20"/>
      <x:c r="J144" s="20"/>
      <x:c r="K144" s="20"/>
      <x:c r="L144" s="20"/>
      <x:c r="M144" s="20"/>
      <x:c r="N144" s="20"/>
      <x:c r="O144" s="20"/>
      <x:c r="P144" s="20"/>
      <x:c r="Q144" s="20"/>
      <x:c r="R144" s="20"/>
      <x:c r="S144" s="20"/>
      <x:c r="T144" s="20"/>
      <x:c r="U144" s="20"/>
      <x:c r="V144" s="20"/>
      <x:c r="W144" s="20"/>
      <x:c r="X144" s="20"/>
      <x:c r="Y144" s="20"/>
      <x:c r="Z144" s="20"/>
    </x:row>
    <x:row r="145">
      <x:c r="A145" s="20"/>
      <x:c r="B145" s="20"/>
      <x:c r="C145" s="20"/>
      <x:c r="D145" s="20"/>
      <x:c r="E145" s="20"/>
      <x:c r="F145" s="20"/>
      <x:c r="G145" s="20"/>
      <x:c r="H145" s="20"/>
      <x:c r="I145" s="20"/>
      <x:c r="J145" s="20"/>
      <x:c r="K145" s="20"/>
      <x:c r="L145" s="20"/>
      <x:c r="M145" s="20"/>
      <x:c r="N145" s="20"/>
      <x:c r="O145" s="20"/>
      <x:c r="P145" s="20"/>
      <x:c r="Q145" s="20"/>
      <x:c r="R145" s="20"/>
      <x:c r="S145" s="20"/>
      <x:c r="T145" s="20"/>
      <x:c r="U145" s="20"/>
      <x:c r="V145" s="20"/>
      <x:c r="W145" s="20"/>
      <x:c r="X145" s="20"/>
      <x:c r="Y145" s="20"/>
      <x:c r="Z145" s="20"/>
    </x:row>
    <x:row r="146">
      <x:c r="A146" s="20"/>
      <x:c r="B146" s="20"/>
      <x:c r="C146" s="20"/>
      <x:c r="D146" s="20"/>
      <x:c r="E146" s="20"/>
      <x:c r="F146" s="20"/>
      <x:c r="G146" s="20"/>
      <x:c r="H146" s="20"/>
      <x:c r="I146" s="20"/>
      <x:c r="J146" s="20"/>
      <x:c r="K146" s="20"/>
      <x:c r="L146" s="20"/>
      <x:c r="M146" s="20"/>
      <x:c r="N146" s="20"/>
      <x:c r="O146" s="20"/>
      <x:c r="P146" s="20"/>
      <x:c r="Q146" s="20"/>
      <x:c r="R146" s="20"/>
      <x:c r="S146" s="20"/>
      <x:c r="T146" s="20"/>
      <x:c r="U146" s="20"/>
      <x:c r="V146" s="20"/>
      <x:c r="W146" s="20"/>
      <x:c r="X146" s="20"/>
      <x:c r="Y146" s="20"/>
      <x:c r="Z146" s="20"/>
    </x:row>
    <x:row r="147">
      <x:c r="A147" s="20"/>
      <x:c r="B147" s="20"/>
      <x:c r="C147" s="20"/>
      <x:c r="D147" s="20"/>
      <x:c r="E147" s="20"/>
      <x:c r="F147" s="20"/>
      <x:c r="G147" s="20"/>
      <x:c r="H147" s="20"/>
      <x:c r="I147" s="20"/>
      <x:c r="J147" s="20"/>
      <x:c r="K147" s="20"/>
      <x:c r="L147" s="20"/>
      <x:c r="M147" s="20"/>
      <x:c r="N147" s="20"/>
      <x:c r="O147" s="20"/>
      <x:c r="P147" s="20"/>
      <x:c r="Q147" s="20"/>
      <x:c r="R147" s="20"/>
      <x:c r="S147" s="20"/>
      <x:c r="T147" s="20"/>
      <x:c r="U147" s="20"/>
      <x:c r="V147" s="20"/>
      <x:c r="W147" s="20"/>
      <x:c r="X147" s="20"/>
      <x:c r="Y147" s="20"/>
      <x:c r="Z147" s="20"/>
    </x:row>
    <x:row r="148">
      <x:c r="A148" s="20"/>
      <x:c r="B148" s="20"/>
      <x:c r="C148" s="20"/>
      <x:c r="D148" s="20"/>
      <x:c r="E148" s="20"/>
      <x:c r="F148" s="20"/>
      <x:c r="G148" s="20"/>
      <x:c r="H148" s="20"/>
      <x:c r="I148" s="20"/>
      <x:c r="J148" s="20"/>
      <x:c r="K148" s="20"/>
      <x:c r="L148" s="20"/>
      <x:c r="M148" s="20"/>
      <x:c r="N148" s="20"/>
      <x:c r="O148" s="20"/>
      <x:c r="P148" s="20"/>
      <x:c r="Q148" s="20"/>
      <x:c r="R148" s="20"/>
      <x:c r="S148" s="20"/>
      <x:c r="T148" s="20"/>
      <x:c r="U148" s="20"/>
      <x:c r="V148" s="20"/>
      <x:c r="W148" s="20"/>
      <x:c r="X148" s="20"/>
      <x:c r="Y148" s="20"/>
      <x:c r="Z148" s="20"/>
    </x:row>
    <x:row r="149">
      <x:c r="A149" s="20"/>
      <x:c r="B149" s="20"/>
      <x:c r="C149" s="20"/>
      <x:c r="D149" s="20"/>
      <x:c r="E149" s="20"/>
      <x:c r="F149" s="20"/>
      <x:c r="G149" s="20"/>
      <x:c r="H149" s="20"/>
      <x:c r="I149" s="20"/>
      <x:c r="J149" s="20"/>
      <x:c r="K149" s="20"/>
      <x:c r="L149" s="20"/>
      <x:c r="M149" s="20"/>
      <x:c r="N149" s="20"/>
      <x:c r="O149" s="20"/>
      <x:c r="P149" s="20"/>
      <x:c r="Q149" s="20"/>
      <x:c r="R149" s="20"/>
      <x:c r="S149" s="20"/>
      <x:c r="T149" s="20"/>
      <x:c r="U149" s="20"/>
      <x:c r="V149" s="20"/>
      <x:c r="W149" s="20"/>
      <x:c r="X149" s="20"/>
      <x:c r="Y149" s="20"/>
      <x:c r="Z149" s="20"/>
    </x:row>
    <x:row r="150">
      <x:c r="A150" s="20"/>
      <x:c r="B150" s="20"/>
      <x:c r="C150" s="20"/>
      <x:c r="D150" s="20"/>
      <x:c r="E150" s="20"/>
      <x:c r="F150" s="20"/>
      <x:c r="G150" s="20"/>
      <x:c r="H150" s="20"/>
      <x:c r="I150" s="20"/>
      <x:c r="J150" s="20"/>
      <x:c r="K150" s="20"/>
      <x:c r="L150" s="20"/>
      <x:c r="M150" s="20"/>
      <x:c r="N150" s="20"/>
      <x:c r="O150" s="20"/>
      <x:c r="P150" s="20"/>
      <x:c r="Q150" s="20"/>
      <x:c r="R150" s="20"/>
      <x:c r="S150" s="20"/>
      <x:c r="T150" s="20"/>
      <x:c r="U150" s="20"/>
      <x:c r="V150" s="20"/>
      <x:c r="W150" s="20"/>
      <x:c r="X150" s="20"/>
      <x:c r="Y150" s="20"/>
      <x:c r="Z150" s="20"/>
    </x:row>
    <x:row r="151">
      <x:c r="A151" s="20"/>
      <x:c r="B151" s="20"/>
      <x:c r="C151" s="20"/>
      <x:c r="D151" s="20"/>
      <x:c r="E151" s="20"/>
      <x:c r="F151" s="20"/>
      <x:c r="G151" s="20"/>
      <x:c r="H151" s="20"/>
      <x:c r="I151" s="20"/>
      <x:c r="J151" s="20"/>
      <x:c r="K151" s="20"/>
      <x:c r="L151" s="20"/>
      <x:c r="M151" s="20"/>
      <x:c r="N151" s="20"/>
      <x:c r="O151" s="20"/>
      <x:c r="P151" s="20"/>
      <x:c r="Q151" s="20"/>
      <x:c r="R151" s="20"/>
      <x:c r="S151" s="20"/>
      <x:c r="T151" s="20"/>
      <x:c r="U151" s="20"/>
      <x:c r="V151" s="20"/>
      <x:c r="W151" s="20"/>
      <x:c r="X151" s="20"/>
      <x:c r="Y151" s="20"/>
      <x:c r="Z151" s="20"/>
    </x:row>
    <x:row r="152">
      <x:c r="A152" s="20"/>
      <x:c r="B152" s="20"/>
      <x:c r="C152" s="20"/>
      <x:c r="D152" s="20"/>
      <x:c r="E152" s="20"/>
      <x:c r="F152" s="20"/>
      <x:c r="G152" s="20"/>
      <x:c r="H152" s="20"/>
      <x:c r="I152" s="20"/>
      <x:c r="J152" s="20"/>
      <x:c r="K152" s="20"/>
      <x:c r="L152" s="20"/>
      <x:c r="M152" s="20"/>
      <x:c r="N152" s="20"/>
      <x:c r="O152" s="20"/>
      <x:c r="P152" s="20"/>
      <x:c r="Q152" s="20"/>
      <x:c r="R152" s="20"/>
      <x:c r="S152" s="20"/>
      <x:c r="T152" s="20"/>
      <x:c r="U152" s="20"/>
      <x:c r="V152" s="20"/>
      <x:c r="W152" s="20"/>
      <x:c r="X152" s="20"/>
      <x:c r="Y152" s="20"/>
      <x:c r="Z152" s="20"/>
    </x:row>
    <x:row r="153">
      <x:c r="A153" s="20"/>
      <x:c r="B153" s="20"/>
      <x:c r="C153" s="20"/>
      <x:c r="D153" s="20"/>
      <x:c r="E153" s="20"/>
      <x:c r="F153" s="20"/>
      <x:c r="G153" s="20"/>
      <x:c r="H153" s="20"/>
      <x:c r="I153" s="20"/>
      <x:c r="J153" s="20"/>
      <x:c r="K153" s="20"/>
      <x:c r="L153" s="20"/>
      <x:c r="M153" s="20"/>
      <x:c r="N153" s="20"/>
      <x:c r="O153" s="20"/>
      <x:c r="P153" s="20"/>
      <x:c r="Q153" s="20"/>
      <x:c r="R153" s="20"/>
      <x:c r="S153" s="20"/>
      <x:c r="T153" s="20"/>
      <x:c r="U153" s="20"/>
      <x:c r="V153" s="20"/>
      <x:c r="W153" s="20"/>
      <x:c r="X153" s="20"/>
      <x:c r="Y153" s="20"/>
      <x:c r="Z153" s="20"/>
    </x:row>
    <x:row r="154">
      <x:c r="A154" s="20"/>
      <x:c r="B154" s="20"/>
      <x:c r="C154" s="20"/>
      <x:c r="D154" s="20"/>
      <x:c r="E154" s="20"/>
      <x:c r="F154" s="20"/>
      <x:c r="G154" s="20"/>
      <x:c r="H154" s="20"/>
      <x:c r="I154" s="20"/>
      <x:c r="J154" s="20"/>
      <x:c r="K154" s="20"/>
      <x:c r="L154" s="20"/>
      <x:c r="M154" s="20"/>
      <x:c r="N154" s="20"/>
      <x:c r="O154" s="20"/>
      <x:c r="P154" s="20"/>
      <x:c r="Q154" s="20"/>
      <x:c r="R154" s="20"/>
      <x:c r="S154" s="20"/>
      <x:c r="T154" s="20"/>
      <x:c r="U154" s="20"/>
      <x:c r="V154" s="20"/>
      <x:c r="W154" s="20"/>
      <x:c r="X154" s="20"/>
      <x:c r="Y154" s="20"/>
      <x:c r="Z154" s="20"/>
    </x:row>
    <x:row r="155">
      <x:c r="A155" s="20"/>
      <x:c r="B155" s="20"/>
      <x:c r="C155" s="20"/>
      <x:c r="D155" s="20"/>
      <x:c r="E155" s="20"/>
      <x:c r="F155" s="20"/>
      <x:c r="G155" s="20"/>
      <x:c r="H155" s="20"/>
      <x:c r="I155" s="20"/>
      <x:c r="J155" s="20"/>
      <x:c r="K155" s="20"/>
      <x:c r="L155" s="20"/>
      <x:c r="M155" s="20"/>
      <x:c r="N155" s="20"/>
      <x:c r="O155" s="20"/>
      <x:c r="P155" s="20"/>
      <x:c r="Q155" s="20"/>
      <x:c r="R155" s="20"/>
      <x:c r="S155" s="20"/>
      <x:c r="T155" s="20"/>
      <x:c r="U155" s="20"/>
      <x:c r="V155" s="20"/>
      <x:c r="W155" s="20"/>
      <x:c r="X155" s="20"/>
      <x:c r="Y155" s="20"/>
      <x:c r="Z155" s="20"/>
    </x:row>
    <x:row r="156">
      <x:c r="A156" s="20"/>
      <x:c r="B156" s="20"/>
      <x:c r="C156" s="20"/>
      <x:c r="D156" s="20"/>
      <x:c r="E156" s="20"/>
      <x:c r="F156" s="20"/>
      <x:c r="G156" s="20"/>
      <x:c r="H156" s="20"/>
      <x:c r="I156" s="20"/>
      <x:c r="J156" s="20"/>
      <x:c r="K156" s="20"/>
      <x:c r="L156" s="20"/>
      <x:c r="M156" s="20"/>
      <x:c r="N156" s="20"/>
      <x:c r="O156" s="20"/>
      <x:c r="P156" s="20"/>
      <x:c r="Q156" s="20"/>
      <x:c r="R156" s="20"/>
      <x:c r="S156" s="20"/>
      <x:c r="T156" s="20"/>
      <x:c r="U156" s="20"/>
      <x:c r="V156" s="20"/>
      <x:c r="W156" s="20"/>
      <x:c r="X156" s="20"/>
      <x:c r="Y156" s="20"/>
      <x:c r="Z156" s="20"/>
    </x:row>
    <x:row r="157">
      <x:c r="A157" s="20"/>
      <x:c r="B157" s="20"/>
      <x:c r="C157" s="20"/>
      <x:c r="D157" s="20"/>
      <x:c r="E157" s="20"/>
      <x:c r="F157" s="20"/>
      <x:c r="G157" s="20"/>
      <x:c r="H157" s="20"/>
      <x:c r="I157" s="20"/>
      <x:c r="J157" s="20"/>
      <x:c r="K157" s="20"/>
      <x:c r="L157" s="20"/>
      <x:c r="M157" s="20"/>
      <x:c r="N157" s="20"/>
      <x:c r="O157" s="20"/>
      <x:c r="P157" s="20"/>
      <x:c r="Q157" s="20"/>
      <x:c r="R157" s="20"/>
      <x:c r="S157" s="20"/>
      <x:c r="T157" s="20"/>
      <x:c r="U157" s="20"/>
      <x:c r="V157" s="20"/>
      <x:c r="W157" s="20"/>
      <x:c r="X157" s="20"/>
      <x:c r="Y157" s="20"/>
      <x:c r="Z157" s="20"/>
    </x:row>
    <x:row r="158">
      <x:c r="A158" s="20"/>
      <x:c r="B158" s="20"/>
      <x:c r="C158" s="20"/>
      <x:c r="D158" s="20"/>
      <x:c r="E158" s="20"/>
      <x:c r="F158" s="20"/>
      <x:c r="G158" s="20"/>
      <x:c r="H158" s="20"/>
      <x:c r="I158" s="20"/>
      <x:c r="J158" s="20"/>
      <x:c r="K158" s="20"/>
      <x:c r="L158" s="20"/>
      <x:c r="M158" s="20"/>
      <x:c r="N158" s="20"/>
      <x:c r="O158" s="20"/>
      <x:c r="P158" s="20"/>
      <x:c r="Q158" s="20"/>
      <x:c r="R158" s="20"/>
      <x:c r="S158" s="20"/>
      <x:c r="T158" s="20"/>
      <x:c r="U158" s="20"/>
      <x:c r="V158" s="20"/>
      <x:c r="W158" s="20"/>
      <x:c r="X158" s="20"/>
      <x:c r="Y158" s="20"/>
      <x:c r="Z158" s="20"/>
    </x:row>
    <x:row r="159">
      <x:c r="A159" s="20"/>
      <x:c r="B159" s="20"/>
      <x:c r="C159" s="20"/>
      <x:c r="D159" s="20"/>
      <x:c r="E159" s="20"/>
      <x:c r="F159" s="20"/>
      <x:c r="G159" s="20"/>
      <x:c r="H159" s="20"/>
      <x:c r="I159" s="20"/>
      <x:c r="J159" s="20"/>
      <x:c r="K159" s="20"/>
      <x:c r="L159" s="20"/>
      <x:c r="M159" s="20"/>
      <x:c r="N159" s="20"/>
      <x:c r="O159" s="20"/>
      <x:c r="P159" s="20"/>
      <x:c r="Q159" s="20"/>
      <x:c r="R159" s="20"/>
      <x:c r="S159" s="20"/>
      <x:c r="T159" s="20"/>
      <x:c r="U159" s="20"/>
      <x:c r="V159" s="20"/>
      <x:c r="W159" s="20"/>
      <x:c r="X159" s="20"/>
      <x:c r="Y159" s="20"/>
      <x:c r="Z159" s="20"/>
    </x:row>
    <x:row r="160">
      <x:c r="A160" s="20"/>
      <x:c r="B160" s="20"/>
      <x:c r="C160" s="20"/>
      <x:c r="D160" s="20"/>
      <x:c r="E160" s="20"/>
      <x:c r="F160" s="20"/>
      <x:c r="G160" s="20"/>
      <x:c r="H160" s="20"/>
      <x:c r="I160" s="20"/>
      <x:c r="J160" s="20"/>
      <x:c r="K160" s="20"/>
      <x:c r="L160" s="20"/>
      <x:c r="M160" s="20"/>
      <x:c r="N160" s="20"/>
      <x:c r="O160" s="20"/>
      <x:c r="P160" s="20"/>
      <x:c r="Q160" s="20"/>
      <x:c r="R160" s="20"/>
      <x:c r="S160" s="20"/>
      <x:c r="T160" s="20"/>
      <x:c r="U160" s="20"/>
      <x:c r="V160" s="20"/>
      <x:c r="W160" s="20"/>
      <x:c r="X160" s="20"/>
      <x:c r="Y160" s="20"/>
      <x:c r="Z160" s="20"/>
    </x:row>
    <x:row r="161">
      <x:c r="A161" s="20"/>
      <x:c r="B161" s="20"/>
      <x:c r="C161" s="20"/>
      <x:c r="D161" s="20"/>
      <x:c r="E161" s="20"/>
      <x:c r="F161" s="20"/>
      <x:c r="G161" s="20"/>
      <x:c r="H161" s="20"/>
      <x:c r="I161" s="20"/>
      <x:c r="J161" s="20"/>
      <x:c r="K161" s="20"/>
      <x:c r="L161" s="20"/>
      <x:c r="M161" s="20"/>
      <x:c r="N161" s="20"/>
      <x:c r="O161" s="20"/>
      <x:c r="P161" s="20"/>
      <x:c r="Q161" s="20"/>
      <x:c r="R161" s="20"/>
      <x:c r="S161" s="20"/>
      <x:c r="T161" s="20"/>
      <x:c r="U161" s="20"/>
      <x:c r="V161" s="20"/>
      <x:c r="W161" s="20"/>
      <x:c r="X161" s="20"/>
      <x:c r="Y161" s="20"/>
      <x:c r="Z161" s="20"/>
    </x:row>
    <x:row r="162">
      <x:c r="A162" s="20"/>
      <x:c r="B162" s="20"/>
      <x:c r="C162" s="20"/>
      <x:c r="D162" s="20"/>
      <x:c r="E162" s="20"/>
      <x:c r="F162" s="20"/>
      <x:c r="G162" s="20"/>
      <x:c r="H162" s="20"/>
      <x:c r="I162" s="20"/>
      <x:c r="J162" s="20"/>
      <x:c r="K162" s="20"/>
      <x:c r="L162" s="20"/>
      <x:c r="M162" s="20"/>
      <x:c r="N162" s="20"/>
      <x:c r="O162" s="20"/>
      <x:c r="P162" s="20"/>
      <x:c r="Q162" s="20"/>
      <x:c r="R162" s="20"/>
      <x:c r="S162" s="20"/>
      <x:c r="T162" s="20"/>
      <x:c r="U162" s="20"/>
      <x:c r="V162" s="20"/>
      <x:c r="W162" s="20"/>
      <x:c r="X162" s="20"/>
      <x:c r="Y162" s="20"/>
      <x:c r="Z162" s="20"/>
    </x:row>
    <x:row r="163">
      <x:c r="A163" s="20"/>
      <x:c r="B163" s="20"/>
      <x:c r="C163" s="20"/>
      <x:c r="D163" s="20"/>
      <x:c r="E163" s="20"/>
      <x:c r="F163" s="20"/>
      <x:c r="G163" s="20"/>
      <x:c r="H163" s="20"/>
      <x:c r="I163" s="20"/>
      <x:c r="J163" s="20"/>
      <x:c r="K163" s="20"/>
      <x:c r="L163" s="20"/>
      <x:c r="M163" s="20"/>
      <x:c r="N163" s="20"/>
      <x:c r="O163" s="20"/>
      <x:c r="P163" s="20"/>
      <x:c r="Q163" s="20"/>
      <x:c r="R163" s="20"/>
      <x:c r="S163" s="20"/>
      <x:c r="T163" s="20"/>
      <x:c r="U163" s="20"/>
      <x:c r="V163" s="20"/>
      <x:c r="W163" s="20"/>
      <x:c r="X163" s="20"/>
      <x:c r="Y163" s="20"/>
      <x:c r="Z163" s="20"/>
    </x:row>
    <x:row r="164">
      <x:c r="A164" s="20"/>
      <x:c r="B164" s="20"/>
      <x:c r="C164" s="20"/>
      <x:c r="D164" s="20"/>
      <x:c r="E164" s="20"/>
      <x:c r="F164" s="20"/>
      <x:c r="G164" s="20"/>
      <x:c r="H164" s="20"/>
      <x:c r="I164" s="20"/>
      <x:c r="J164" s="20"/>
      <x:c r="K164" s="20"/>
      <x:c r="L164" s="20"/>
      <x:c r="M164" s="20"/>
      <x:c r="N164" s="20"/>
      <x:c r="O164" s="20"/>
      <x:c r="P164" s="20"/>
      <x:c r="Q164" s="20"/>
      <x:c r="R164" s="20"/>
      <x:c r="S164" s="20"/>
      <x:c r="T164" s="20"/>
      <x:c r="U164" s="20"/>
      <x:c r="V164" s="20"/>
      <x:c r="W164" s="20"/>
      <x:c r="X164" s="20"/>
      <x:c r="Y164" s="20"/>
      <x:c r="Z164" s="20"/>
    </x:row>
    <x:row r="165">
      <x:c r="A165" s="20"/>
      <x:c r="B165" s="20"/>
      <x:c r="C165" s="20"/>
      <x:c r="D165" s="20"/>
      <x:c r="E165" s="20"/>
      <x:c r="F165" s="20"/>
      <x:c r="G165" s="20"/>
      <x:c r="H165" s="20"/>
      <x:c r="I165" s="20"/>
      <x:c r="J165" s="20"/>
      <x:c r="K165" s="20"/>
      <x:c r="L165" s="20"/>
      <x:c r="M165" s="20"/>
      <x:c r="N165" s="20"/>
      <x:c r="O165" s="20"/>
      <x:c r="P165" s="20"/>
      <x:c r="Q165" s="20"/>
      <x:c r="R165" s="20"/>
      <x:c r="S165" s="20"/>
      <x:c r="T165" s="20"/>
      <x:c r="U165" s="20"/>
      <x:c r="V165" s="20"/>
      <x:c r="W165" s="20"/>
      <x:c r="X165" s="20"/>
      <x:c r="Y165" s="20"/>
      <x:c r="Z165" s="20"/>
    </x:row>
    <x:row r="166">
      <x:c r="A166" s="20"/>
      <x:c r="B166" s="20"/>
      <x:c r="C166" s="20"/>
      <x:c r="D166" s="20"/>
      <x:c r="E166" s="20"/>
      <x:c r="F166" s="20"/>
      <x:c r="G166" s="20"/>
      <x:c r="H166" s="20"/>
      <x:c r="I166" s="20"/>
      <x:c r="J166" s="20"/>
      <x:c r="K166" s="20"/>
      <x:c r="L166" s="20"/>
      <x:c r="M166" s="20"/>
      <x:c r="N166" s="20"/>
      <x:c r="O166" s="20"/>
      <x:c r="P166" s="20"/>
      <x:c r="Q166" s="20"/>
      <x:c r="R166" s="20"/>
      <x:c r="S166" s="20"/>
      <x:c r="T166" s="20"/>
      <x:c r="U166" s="20"/>
      <x:c r="V166" s="20"/>
      <x:c r="W166" s="20"/>
      <x:c r="X166" s="20"/>
      <x:c r="Y166" s="20"/>
      <x:c r="Z166" s="20"/>
    </x:row>
    <x:row r="167">
      <x:c r="A167" s="20"/>
      <x:c r="B167" s="20"/>
      <x:c r="C167" s="20"/>
      <x:c r="D167" s="20"/>
      <x:c r="E167" s="20"/>
      <x:c r="F167" s="20"/>
      <x:c r="G167" s="20"/>
      <x:c r="H167" s="20"/>
      <x:c r="I167" s="20"/>
      <x:c r="J167" s="20"/>
      <x:c r="K167" s="20"/>
      <x:c r="L167" s="20"/>
      <x:c r="M167" s="20"/>
      <x:c r="N167" s="20"/>
      <x:c r="O167" s="20"/>
      <x:c r="P167" s="20"/>
      <x:c r="Q167" s="20"/>
      <x:c r="R167" s="20"/>
      <x:c r="S167" s="20"/>
      <x:c r="T167" s="20"/>
      <x:c r="U167" s="20"/>
      <x:c r="V167" s="20"/>
      <x:c r="W167" s="20"/>
      <x:c r="X167" s="20"/>
      <x:c r="Y167" s="20"/>
      <x:c r="Z167" s="20"/>
    </x:row>
    <x:row r="168">
      <x:c r="A168" s="20"/>
      <x:c r="B168" s="20"/>
      <x:c r="C168" s="20"/>
      <x:c r="D168" s="20"/>
      <x:c r="E168" s="20"/>
      <x:c r="F168" s="20"/>
      <x:c r="G168" s="20"/>
      <x:c r="H168" s="20"/>
      <x:c r="I168" s="20"/>
      <x:c r="J168" s="20"/>
      <x:c r="K168" s="20"/>
      <x:c r="L168" s="20"/>
      <x:c r="M168" s="20"/>
      <x:c r="N168" s="20"/>
      <x:c r="O168" s="20"/>
      <x:c r="P168" s="20"/>
      <x:c r="Q168" s="20"/>
      <x:c r="R168" s="20"/>
      <x:c r="S168" s="20"/>
      <x:c r="T168" s="20"/>
      <x:c r="U168" s="20"/>
      <x:c r="V168" s="20"/>
      <x:c r="W168" s="20"/>
      <x:c r="X168" s="20"/>
      <x:c r="Y168" s="20"/>
      <x:c r="Z168" s="20"/>
    </x:row>
    <x:row r="169">
      <x:c r="A169" s="20"/>
      <x:c r="B169" s="20"/>
      <x:c r="C169" s="20"/>
      <x:c r="D169" s="20"/>
      <x:c r="E169" s="20"/>
      <x:c r="F169" s="20"/>
      <x:c r="G169" s="20"/>
      <x:c r="H169" s="20"/>
      <x:c r="I169" s="20"/>
      <x:c r="J169" s="20"/>
      <x:c r="K169" s="20"/>
      <x:c r="L169" s="20"/>
      <x:c r="M169" s="20"/>
      <x:c r="N169" s="20"/>
      <x:c r="O169" s="20"/>
      <x:c r="P169" s="20"/>
      <x:c r="Q169" s="20"/>
      <x:c r="R169" s="20"/>
      <x:c r="S169" s="20"/>
      <x:c r="T169" s="20"/>
      <x:c r="U169" s="20"/>
      <x:c r="V169" s="20"/>
      <x:c r="W169" s="20"/>
      <x:c r="X169" s="20"/>
      <x:c r="Y169" s="20"/>
      <x:c r="Z169" s="20"/>
    </x:row>
    <x:row r="170">
      <x:c r="A170" s="20"/>
      <x:c r="B170" s="20"/>
      <x:c r="C170" s="20"/>
      <x:c r="D170" s="20"/>
      <x:c r="E170" s="20"/>
      <x:c r="F170" s="20"/>
      <x:c r="G170" s="20"/>
      <x:c r="H170" s="20"/>
      <x:c r="I170" s="20"/>
      <x:c r="J170" s="20"/>
      <x:c r="K170" s="20"/>
      <x:c r="L170" s="20"/>
      <x:c r="M170" s="20"/>
      <x:c r="N170" s="20"/>
      <x:c r="O170" s="20"/>
      <x:c r="P170" s="20"/>
      <x:c r="Q170" s="20"/>
      <x:c r="R170" s="20"/>
      <x:c r="S170" s="20"/>
      <x:c r="T170" s="20"/>
      <x:c r="U170" s="20"/>
      <x:c r="V170" s="20"/>
      <x:c r="W170" s="20"/>
      <x:c r="X170" s="20"/>
      <x:c r="Y170" s="20"/>
      <x:c r="Z170" s="20"/>
    </x:row>
    <x:row r="171">
      <x:c r="A171" s="20"/>
      <x:c r="B171" s="20"/>
      <x:c r="C171" s="20"/>
      <x:c r="D171" s="20"/>
      <x:c r="E171" s="20"/>
      <x:c r="F171" s="20"/>
      <x:c r="G171" s="20"/>
      <x:c r="H171" s="20"/>
      <x:c r="I171" s="20"/>
      <x:c r="J171" s="20"/>
      <x:c r="K171" s="20"/>
      <x:c r="L171" s="20"/>
      <x:c r="M171" s="20"/>
      <x:c r="N171" s="20"/>
      <x:c r="O171" s="20"/>
      <x:c r="P171" s="20"/>
      <x:c r="Q171" s="20"/>
      <x:c r="R171" s="20"/>
      <x:c r="S171" s="20"/>
      <x:c r="T171" s="20"/>
      <x:c r="U171" s="20"/>
      <x:c r="V171" s="20"/>
      <x:c r="W171" s="20"/>
      <x:c r="X171" s="20"/>
      <x:c r="Y171" s="20"/>
      <x:c r="Z171" s="20"/>
    </x:row>
    <x:row r="172">
      <x:c r="A172" s="20"/>
      <x:c r="B172" s="20"/>
      <x:c r="C172" s="20"/>
      <x:c r="D172" s="20"/>
      <x:c r="E172" s="20"/>
      <x:c r="F172" s="20"/>
      <x:c r="G172" s="20"/>
      <x:c r="H172" s="20"/>
      <x:c r="I172" s="20"/>
      <x:c r="J172" s="20"/>
      <x:c r="K172" s="20"/>
      <x:c r="L172" s="20"/>
      <x:c r="M172" s="20"/>
      <x:c r="N172" s="20"/>
      <x:c r="O172" s="20"/>
      <x:c r="P172" s="20"/>
      <x:c r="Q172" s="20"/>
      <x:c r="R172" s="20"/>
      <x:c r="S172" s="20"/>
      <x:c r="T172" s="20"/>
      <x:c r="U172" s="20"/>
      <x:c r="V172" s="20"/>
      <x:c r="W172" s="20"/>
      <x:c r="X172" s="20"/>
      <x:c r="Y172" s="20"/>
      <x:c r="Z172" s="20"/>
    </x:row>
    <x:row r="173">
      <x:c r="A173" s="20"/>
      <x:c r="B173" s="20"/>
      <x:c r="C173" s="20"/>
      <x:c r="D173" s="20"/>
      <x:c r="E173" s="20"/>
      <x:c r="F173" s="20"/>
      <x:c r="G173" s="20"/>
      <x:c r="H173" s="20"/>
      <x:c r="I173" s="20"/>
      <x:c r="J173" s="20"/>
      <x:c r="K173" s="20"/>
      <x:c r="L173" s="20"/>
      <x:c r="M173" s="20"/>
      <x:c r="N173" s="20"/>
      <x:c r="O173" s="20"/>
      <x:c r="P173" s="20"/>
      <x:c r="Q173" s="20"/>
      <x:c r="R173" s="20"/>
      <x:c r="S173" s="20"/>
      <x:c r="T173" s="20"/>
      <x:c r="U173" s="20"/>
      <x:c r="V173" s="20"/>
      <x:c r="W173" s="20"/>
      <x:c r="X173" s="20"/>
      <x:c r="Y173" s="20"/>
      <x:c r="Z173" s="20"/>
    </x:row>
    <x:row r="174">
      <x:c r="A174" s="20"/>
      <x:c r="B174" s="20"/>
      <x:c r="C174" s="20"/>
      <x:c r="D174" s="20"/>
      <x:c r="E174" s="20"/>
      <x:c r="F174" s="20"/>
      <x:c r="G174" s="20"/>
      <x:c r="H174" s="20"/>
      <x:c r="I174" s="20"/>
      <x:c r="J174" s="20"/>
      <x:c r="K174" s="20"/>
      <x:c r="L174" s="20"/>
      <x:c r="M174" s="20"/>
      <x:c r="N174" s="20"/>
      <x:c r="O174" s="20"/>
      <x:c r="P174" s="20"/>
      <x:c r="Q174" s="20"/>
      <x:c r="R174" s="20"/>
      <x:c r="S174" s="20"/>
      <x:c r="T174" s="20"/>
      <x:c r="U174" s="20"/>
      <x:c r="V174" s="20"/>
      <x:c r="W174" s="20"/>
      <x:c r="X174" s="20"/>
      <x:c r="Y174" s="20"/>
      <x:c r="Z174" s="20"/>
    </x:row>
    <x:row r="175">
      <x:c r="A175" s="20"/>
      <x:c r="B175" s="20"/>
      <x:c r="C175" s="20"/>
      <x:c r="D175" s="20"/>
      <x:c r="E175" s="20"/>
      <x:c r="F175" s="20"/>
      <x:c r="G175" s="20"/>
      <x:c r="H175" s="20"/>
      <x:c r="I175" s="20"/>
      <x:c r="J175" s="20"/>
      <x:c r="K175" s="20"/>
      <x:c r="L175" s="20"/>
      <x:c r="M175" s="20"/>
      <x:c r="N175" s="20"/>
      <x:c r="O175" s="20"/>
      <x:c r="P175" s="20"/>
      <x:c r="Q175" s="20"/>
      <x:c r="R175" s="20"/>
      <x:c r="S175" s="20"/>
      <x:c r="T175" s="20"/>
      <x:c r="U175" s="20"/>
      <x:c r="V175" s="20"/>
      <x:c r="W175" s="20"/>
      <x:c r="X175" s="20"/>
      <x:c r="Y175" s="20"/>
      <x:c r="Z175" s="20"/>
    </x:row>
    <x:row r="176">
      <x:c r="A176" s="20"/>
      <x:c r="B176" s="20"/>
      <x:c r="C176" s="20"/>
      <x:c r="D176" s="20"/>
      <x:c r="E176" s="20"/>
      <x:c r="F176" s="20"/>
      <x:c r="G176" s="20"/>
      <x:c r="H176" s="20"/>
      <x:c r="I176" s="20"/>
      <x:c r="J176" s="20"/>
      <x:c r="K176" s="20"/>
      <x:c r="L176" s="20"/>
      <x:c r="M176" s="20"/>
      <x:c r="N176" s="20"/>
      <x:c r="O176" s="20"/>
      <x:c r="P176" s="20"/>
      <x:c r="Q176" s="20"/>
      <x:c r="R176" s="20"/>
      <x:c r="S176" s="20"/>
      <x:c r="T176" s="20"/>
      <x:c r="U176" s="20"/>
      <x:c r="V176" s="20"/>
      <x:c r="W176" s="20"/>
      <x:c r="X176" s="20"/>
      <x:c r="Y176" s="20"/>
      <x:c r="Z176" s="20"/>
    </x:row>
    <x:row r="177">
      <x:c r="A177" s="20"/>
      <x:c r="B177" s="20"/>
      <x:c r="C177" s="20"/>
      <x:c r="D177" s="20"/>
      <x:c r="E177" s="20"/>
      <x:c r="F177" s="20"/>
      <x:c r="G177" s="20"/>
      <x:c r="H177" s="20"/>
      <x:c r="I177" s="20"/>
      <x:c r="J177" s="20"/>
      <x:c r="K177" s="20"/>
      <x:c r="L177" s="20"/>
      <x:c r="M177" s="20"/>
      <x:c r="N177" s="20"/>
      <x:c r="O177" s="20"/>
      <x:c r="P177" s="20"/>
      <x:c r="Q177" s="20"/>
      <x:c r="R177" s="20"/>
      <x:c r="S177" s="20"/>
      <x:c r="T177" s="20"/>
      <x:c r="U177" s="20"/>
      <x:c r="V177" s="20"/>
      <x:c r="W177" s="20"/>
      <x:c r="X177" s="20"/>
      <x:c r="Y177" s="20"/>
      <x:c r="Z177" s="20"/>
    </x:row>
    <x:row r="178">
      <x:c r="A178" s="20"/>
      <x:c r="B178" s="20"/>
      <x:c r="C178" s="20"/>
      <x:c r="D178" s="20"/>
      <x:c r="E178" s="20"/>
      <x:c r="F178" s="20"/>
      <x:c r="G178" s="20"/>
      <x:c r="H178" s="20"/>
      <x:c r="I178" s="20"/>
      <x:c r="J178" s="20"/>
      <x:c r="K178" s="20"/>
      <x:c r="L178" s="20"/>
      <x:c r="M178" s="20"/>
      <x:c r="N178" s="20"/>
      <x:c r="O178" s="20"/>
      <x:c r="P178" s="20"/>
      <x:c r="Q178" s="20"/>
      <x:c r="R178" s="20"/>
      <x:c r="S178" s="20"/>
      <x:c r="T178" s="20"/>
      <x:c r="U178" s="20"/>
      <x:c r="V178" s="20"/>
      <x:c r="W178" s="20"/>
      <x:c r="X178" s="20"/>
      <x:c r="Y178" s="20"/>
      <x:c r="Z178" s="20"/>
    </x:row>
    <x:row r="179">
      <x:c r="A179" s="20"/>
      <x:c r="B179" s="20"/>
      <x:c r="C179" s="20"/>
      <x:c r="D179" s="20"/>
      <x:c r="E179" s="20"/>
      <x:c r="F179" s="20"/>
      <x:c r="G179" s="20"/>
      <x:c r="H179" s="20"/>
      <x:c r="I179" s="20"/>
      <x:c r="J179" s="20"/>
      <x:c r="K179" s="20"/>
      <x:c r="L179" s="20"/>
      <x:c r="M179" s="20"/>
      <x:c r="N179" s="20"/>
      <x:c r="O179" s="20"/>
      <x:c r="P179" s="20"/>
      <x:c r="Q179" s="20"/>
      <x:c r="R179" s="20"/>
      <x:c r="S179" s="20"/>
      <x:c r="T179" s="20"/>
      <x:c r="U179" s="20"/>
      <x:c r="V179" s="20"/>
      <x:c r="W179" s="20"/>
      <x:c r="X179" s="20"/>
      <x:c r="Y179" s="20"/>
      <x:c r="Z179" s="20"/>
    </x:row>
    <x:row r="180">
      <x:c r="A180" s="20"/>
      <x:c r="B180" s="20"/>
      <x:c r="C180" s="20"/>
      <x:c r="D180" s="20"/>
      <x:c r="E180" s="20"/>
      <x:c r="F180" s="20"/>
      <x:c r="G180" s="20"/>
      <x:c r="H180" s="20"/>
      <x:c r="I180" s="20"/>
      <x:c r="J180" s="20"/>
      <x:c r="K180" s="20"/>
      <x:c r="L180" s="20"/>
      <x:c r="M180" s="20"/>
      <x:c r="N180" s="20"/>
      <x:c r="O180" s="20"/>
      <x:c r="P180" s="20"/>
      <x:c r="Q180" s="20"/>
      <x:c r="R180" s="20"/>
      <x:c r="S180" s="20"/>
      <x:c r="T180" s="20"/>
      <x:c r="U180" s="20"/>
      <x:c r="V180" s="20"/>
      <x:c r="W180" s="20"/>
      <x:c r="X180" s="20"/>
      <x:c r="Y180" s="20"/>
      <x:c r="Z180" s="20"/>
    </x:row>
    <x:row r="181">
      <x:c r="A181" s="20"/>
      <x:c r="B181" s="20"/>
      <x:c r="C181" s="20"/>
      <x:c r="D181" s="20"/>
      <x:c r="E181" s="20"/>
      <x:c r="F181" s="20"/>
      <x:c r="G181" s="20"/>
      <x:c r="H181" s="20"/>
      <x:c r="I181" s="20"/>
      <x:c r="J181" s="20"/>
      <x:c r="K181" s="20"/>
      <x:c r="L181" s="20"/>
      <x:c r="M181" s="20"/>
      <x:c r="N181" s="20"/>
      <x:c r="O181" s="20"/>
      <x:c r="P181" s="20"/>
      <x:c r="Q181" s="20"/>
      <x:c r="R181" s="20"/>
      <x:c r="S181" s="20"/>
      <x:c r="T181" s="20"/>
      <x:c r="U181" s="20"/>
      <x:c r="V181" s="20"/>
      <x:c r="W181" s="20"/>
      <x:c r="X181" s="20"/>
      <x:c r="Y181" s="20"/>
      <x:c r="Z181" s="20"/>
    </x:row>
    <x:row r="182">
      <x:c r="A182" s="20"/>
      <x:c r="B182" s="20"/>
      <x:c r="C182" s="20"/>
      <x:c r="D182" s="20"/>
      <x:c r="E182" s="20"/>
      <x:c r="F182" s="20"/>
      <x:c r="G182" s="20"/>
      <x:c r="H182" s="20"/>
      <x:c r="I182" s="20"/>
      <x:c r="J182" s="20"/>
      <x:c r="K182" s="20"/>
      <x:c r="L182" s="20"/>
      <x:c r="M182" s="20"/>
      <x:c r="N182" s="20"/>
      <x:c r="O182" s="20"/>
      <x:c r="P182" s="20"/>
      <x:c r="Q182" s="20"/>
      <x:c r="R182" s="20"/>
      <x:c r="S182" s="20"/>
      <x:c r="T182" s="20"/>
      <x:c r="U182" s="20"/>
      <x:c r="V182" s="20"/>
      <x:c r="W182" s="20"/>
      <x:c r="X182" s="20"/>
      <x:c r="Y182" s="20"/>
      <x:c r="Z182" s="20"/>
    </x:row>
    <x:row r="183">
      <x:c r="A183" s="20"/>
      <x:c r="B183" s="20"/>
      <x:c r="C183" s="20"/>
      <x:c r="D183" s="20"/>
      <x:c r="E183" s="20"/>
      <x:c r="F183" s="20"/>
      <x:c r="G183" s="20"/>
      <x:c r="H183" s="20"/>
      <x:c r="I183" s="20"/>
      <x:c r="J183" s="20"/>
      <x:c r="K183" s="20"/>
      <x:c r="L183" s="20"/>
      <x:c r="M183" s="20"/>
      <x:c r="N183" s="20"/>
      <x:c r="O183" s="20"/>
      <x:c r="P183" s="20"/>
      <x:c r="Q183" s="20"/>
      <x:c r="R183" s="20"/>
      <x:c r="S183" s="20"/>
      <x:c r="T183" s="20"/>
      <x:c r="U183" s="20"/>
      <x:c r="V183" s="20"/>
      <x:c r="W183" s="20"/>
      <x:c r="X183" s="20"/>
      <x:c r="Y183" s="20"/>
      <x:c r="Z183" s="20"/>
    </x:row>
    <x:row r="184">
      <x:c r="A184" s="20"/>
      <x:c r="B184" s="20"/>
      <x:c r="C184" s="20"/>
      <x:c r="D184" s="20"/>
      <x:c r="E184" s="20"/>
      <x:c r="F184" s="20"/>
      <x:c r="G184" s="20"/>
      <x:c r="H184" s="20"/>
      <x:c r="I184" s="20"/>
      <x:c r="J184" s="20"/>
      <x:c r="K184" s="20"/>
      <x:c r="L184" s="20"/>
      <x:c r="M184" s="20"/>
      <x:c r="N184" s="20"/>
      <x:c r="O184" s="20"/>
      <x:c r="P184" s="20"/>
      <x:c r="Q184" s="20"/>
      <x:c r="R184" s="20"/>
      <x:c r="S184" s="20"/>
      <x:c r="T184" s="20"/>
      <x:c r="U184" s="20"/>
      <x:c r="V184" s="20"/>
      <x:c r="W184" s="20"/>
      <x:c r="X184" s="20"/>
      <x:c r="Y184" s="20"/>
      <x:c r="Z184" s="20"/>
    </x:row>
    <x:row r="185">
      <x:c r="A185" s="20"/>
      <x:c r="B185" s="20"/>
      <x:c r="C185" s="20"/>
      <x:c r="D185" s="20"/>
      <x:c r="E185" s="20"/>
      <x:c r="F185" s="20"/>
      <x:c r="G185" s="20"/>
      <x:c r="H185" s="20"/>
      <x:c r="I185" s="20"/>
      <x:c r="J185" s="20"/>
      <x:c r="K185" s="20"/>
      <x:c r="L185" s="20"/>
      <x:c r="M185" s="20"/>
      <x:c r="N185" s="20"/>
      <x:c r="O185" s="20"/>
      <x:c r="P185" s="20"/>
      <x:c r="Q185" s="20"/>
      <x:c r="R185" s="20"/>
      <x:c r="S185" s="20"/>
      <x:c r="T185" s="20"/>
      <x:c r="U185" s="20"/>
      <x:c r="V185" s="20"/>
      <x:c r="W185" s="20"/>
      <x:c r="X185" s="20"/>
      <x:c r="Y185" s="20"/>
      <x:c r="Z185" s="20"/>
    </x:row>
    <x:row r="186">
      <x:c r="A186" s="20"/>
      <x:c r="B186" s="20"/>
      <x:c r="C186" s="20"/>
      <x:c r="D186" s="20"/>
      <x:c r="E186" s="20"/>
      <x:c r="F186" s="20"/>
      <x:c r="G186" s="20"/>
      <x:c r="H186" s="20"/>
      <x:c r="I186" s="20"/>
      <x:c r="J186" s="20"/>
      <x:c r="K186" s="20"/>
      <x:c r="L186" s="20"/>
      <x:c r="M186" s="20"/>
      <x:c r="N186" s="20"/>
      <x:c r="O186" s="20"/>
      <x:c r="P186" s="20"/>
      <x:c r="Q186" s="20"/>
      <x:c r="R186" s="20"/>
      <x:c r="S186" s="20"/>
      <x:c r="T186" s="20"/>
      <x:c r="U186" s="20"/>
      <x:c r="V186" s="20"/>
      <x:c r="W186" s="20"/>
      <x:c r="X186" s="20"/>
      <x:c r="Y186" s="20"/>
      <x:c r="Z186" s="20"/>
    </x:row>
    <x:row r="187">
      <x:c r="A187" s="20"/>
      <x:c r="B187" s="20"/>
      <x:c r="C187" s="20"/>
      <x:c r="D187" s="20"/>
      <x:c r="E187" s="20"/>
      <x:c r="F187" s="20"/>
      <x:c r="G187" s="20"/>
      <x:c r="H187" s="20"/>
      <x:c r="I187" s="20"/>
      <x:c r="J187" s="20"/>
      <x:c r="K187" s="20"/>
      <x:c r="L187" s="20"/>
      <x:c r="M187" s="20"/>
      <x:c r="N187" s="20"/>
      <x:c r="O187" s="20"/>
      <x:c r="P187" s="20"/>
      <x:c r="Q187" s="20"/>
      <x:c r="R187" s="20"/>
      <x:c r="S187" s="20"/>
      <x:c r="T187" s="20"/>
      <x:c r="U187" s="20"/>
      <x:c r="V187" s="20"/>
      <x:c r="W187" s="20"/>
      <x:c r="X187" s="20"/>
      <x:c r="Y187" s="20"/>
      <x:c r="Z187" s="20"/>
    </x:row>
    <x:row r="188">
      <x:c r="A188" s="20"/>
      <x:c r="B188" s="20"/>
      <x:c r="C188" s="20"/>
      <x:c r="D188" s="20"/>
      <x:c r="E188" s="20"/>
      <x:c r="F188" s="20"/>
      <x:c r="G188" s="20"/>
      <x:c r="H188" s="20"/>
      <x:c r="I188" s="20"/>
      <x:c r="J188" s="20"/>
      <x:c r="K188" s="20"/>
      <x:c r="L188" s="20"/>
      <x:c r="M188" s="20"/>
      <x:c r="N188" s="20"/>
      <x:c r="O188" s="20"/>
      <x:c r="P188" s="20"/>
      <x:c r="Q188" s="20"/>
      <x:c r="R188" s="20"/>
      <x:c r="S188" s="20"/>
      <x:c r="T188" s="20"/>
      <x:c r="U188" s="20"/>
      <x:c r="V188" s="20"/>
      <x:c r="W188" s="20"/>
      <x:c r="X188" s="20"/>
      <x:c r="Y188" s="20"/>
      <x:c r="Z188" s="20"/>
    </x:row>
    <x:row r="189">
      <x:c r="A189" s="20"/>
      <x:c r="B189" s="20"/>
      <x:c r="C189" s="20"/>
      <x:c r="D189" s="20"/>
      <x:c r="E189" s="20"/>
      <x:c r="F189" s="20"/>
      <x:c r="G189" s="20"/>
      <x:c r="H189" s="20"/>
      <x:c r="I189" s="20"/>
      <x:c r="J189" s="20"/>
      <x:c r="K189" s="20"/>
      <x:c r="L189" s="20"/>
      <x:c r="M189" s="20"/>
      <x:c r="N189" s="20"/>
      <x:c r="O189" s="20"/>
      <x:c r="P189" s="20"/>
      <x:c r="Q189" s="20"/>
      <x:c r="R189" s="20"/>
      <x:c r="S189" s="20"/>
      <x:c r="T189" s="20"/>
      <x:c r="U189" s="20"/>
      <x:c r="V189" s="20"/>
      <x:c r="W189" s="20"/>
      <x:c r="X189" s="20"/>
      <x:c r="Y189" s="20"/>
      <x:c r="Z189" s="20"/>
    </x:row>
    <x:row r="190">
      <x:c r="A190" s="20"/>
      <x:c r="B190" s="20"/>
      <x:c r="C190" s="20"/>
      <x:c r="D190" s="20"/>
      <x:c r="E190" s="20"/>
      <x:c r="F190" s="20"/>
      <x:c r="G190" s="20"/>
      <x:c r="H190" s="20"/>
      <x:c r="I190" s="20"/>
      <x:c r="J190" s="20"/>
      <x:c r="K190" s="20"/>
      <x:c r="L190" s="20"/>
      <x:c r="M190" s="20"/>
      <x:c r="N190" s="20"/>
      <x:c r="O190" s="20"/>
      <x:c r="P190" s="20"/>
      <x:c r="Q190" s="20"/>
      <x:c r="R190" s="20"/>
      <x:c r="S190" s="20"/>
      <x:c r="T190" s="20"/>
      <x:c r="U190" s="20"/>
      <x:c r="V190" s="20"/>
      <x:c r="W190" s="20"/>
      <x:c r="X190" s="20"/>
      <x:c r="Y190" s="20"/>
      <x:c r="Z190" s="20"/>
    </x:row>
    <x:row r="191">
      <x:c r="A191" s="20"/>
      <x:c r="B191" s="20"/>
      <x:c r="C191" s="20"/>
      <x:c r="D191" s="20"/>
      <x:c r="E191" s="20"/>
      <x:c r="F191" s="20"/>
      <x:c r="G191" s="20"/>
      <x:c r="H191" s="20"/>
      <x:c r="I191" s="20"/>
      <x:c r="J191" s="20"/>
      <x:c r="K191" s="20"/>
      <x:c r="L191" s="20"/>
      <x:c r="M191" s="20"/>
      <x:c r="N191" s="20"/>
      <x:c r="O191" s="20"/>
      <x:c r="P191" s="20"/>
      <x:c r="Q191" s="20"/>
      <x:c r="R191" s="20"/>
      <x:c r="S191" s="20"/>
      <x:c r="T191" s="20"/>
      <x:c r="U191" s="20"/>
      <x:c r="V191" s="20"/>
      <x:c r="W191" s="20"/>
      <x:c r="X191" s="20"/>
      <x:c r="Y191" s="20"/>
      <x:c r="Z191" s="20"/>
    </x:row>
    <x:row r="192">
      <x:c r="A192" s="20"/>
      <x:c r="B192" s="20"/>
      <x:c r="C192" s="20"/>
      <x:c r="D192" s="20"/>
      <x:c r="E192" s="20"/>
      <x:c r="F192" s="20"/>
      <x:c r="G192" s="20"/>
      <x:c r="H192" s="20"/>
      <x:c r="I192" s="20"/>
      <x:c r="J192" s="20"/>
      <x:c r="K192" s="20"/>
      <x:c r="L192" s="20"/>
      <x:c r="M192" s="20"/>
      <x:c r="N192" s="20"/>
      <x:c r="O192" s="20"/>
      <x:c r="P192" s="20"/>
      <x:c r="Q192" s="20"/>
      <x:c r="R192" s="20"/>
      <x:c r="S192" s="20"/>
      <x:c r="T192" s="20"/>
      <x:c r="U192" s="20"/>
      <x:c r="V192" s="20"/>
      <x:c r="W192" s="20"/>
      <x:c r="X192" s="20"/>
      <x:c r="Y192" s="20"/>
      <x:c r="Z192" s="20"/>
    </x:row>
    <x:row r="193">
      <x:c r="A193" s="20"/>
      <x:c r="B193" s="20"/>
      <x:c r="C193" s="20"/>
      <x:c r="D193" s="20"/>
      <x:c r="E193" s="20"/>
      <x:c r="F193" s="20"/>
      <x:c r="G193" s="20"/>
      <x:c r="H193" s="20"/>
      <x:c r="I193" s="20"/>
      <x:c r="J193" s="20"/>
      <x:c r="K193" s="20"/>
      <x:c r="L193" s="20"/>
      <x:c r="M193" s="20"/>
      <x:c r="N193" s="20"/>
      <x:c r="O193" s="20"/>
      <x:c r="P193" s="20"/>
      <x:c r="Q193" s="20"/>
      <x:c r="R193" s="20"/>
      <x:c r="S193" s="20"/>
      <x:c r="T193" s="20"/>
      <x:c r="U193" s="20"/>
      <x:c r="V193" s="20"/>
      <x:c r="W193" s="20"/>
      <x:c r="X193" s="20"/>
      <x:c r="Y193" s="20"/>
      <x:c r="Z193" s="20"/>
    </x:row>
    <x:row r="194">
      <x:c r="A194" s="20"/>
      <x:c r="B194" s="20"/>
      <x:c r="C194" s="20"/>
      <x:c r="D194" s="20"/>
      <x:c r="E194" s="20"/>
      <x:c r="F194" s="20"/>
      <x:c r="G194" s="20"/>
      <x:c r="H194" s="20"/>
      <x:c r="I194" s="20"/>
      <x:c r="J194" s="20"/>
      <x:c r="K194" s="20"/>
      <x:c r="L194" s="20"/>
      <x:c r="M194" s="20"/>
      <x:c r="N194" s="20"/>
      <x:c r="O194" s="20"/>
      <x:c r="P194" s="20"/>
      <x:c r="Q194" s="20"/>
      <x:c r="R194" s="20"/>
      <x:c r="S194" s="20"/>
      <x:c r="T194" s="20"/>
      <x:c r="U194" s="20"/>
      <x:c r="V194" s="20"/>
      <x:c r="W194" s="20"/>
      <x:c r="X194" s="20"/>
      <x:c r="Y194" s="20"/>
      <x:c r="Z194" s="20"/>
    </x:row>
    <x:row r="195">
      <x:c r="A195" s="20"/>
      <x:c r="B195" s="20"/>
      <x:c r="C195" s="20"/>
      <x:c r="D195" s="20"/>
      <x:c r="E195" s="20"/>
      <x:c r="F195" s="20"/>
      <x:c r="G195" s="20"/>
      <x:c r="H195" s="20"/>
      <x:c r="I195" s="20"/>
      <x:c r="J195" s="20"/>
      <x:c r="K195" s="20"/>
      <x:c r="L195" s="20"/>
      <x:c r="M195" s="20"/>
      <x:c r="N195" s="20"/>
      <x:c r="O195" s="20"/>
      <x:c r="P195" s="20"/>
      <x:c r="Q195" s="20"/>
      <x:c r="R195" s="20"/>
      <x:c r="S195" s="20"/>
      <x:c r="T195" s="20"/>
      <x:c r="U195" s="20"/>
      <x:c r="V195" s="20"/>
      <x:c r="W195" s="20"/>
      <x:c r="X195" s="20"/>
      <x:c r="Y195" s="20"/>
      <x:c r="Z195" s="20"/>
    </x:row>
    <x:row r="196">
      <x:c r="A196" s="20"/>
      <x:c r="B196" s="20"/>
      <x:c r="C196" s="20"/>
      <x:c r="D196" s="20"/>
      <x:c r="E196" s="20"/>
      <x:c r="F196" s="20"/>
      <x:c r="G196" s="20"/>
      <x:c r="H196" s="20"/>
      <x:c r="I196" s="20"/>
      <x:c r="J196" s="20"/>
      <x:c r="K196" s="20"/>
      <x:c r="L196" s="20"/>
      <x:c r="M196" s="20"/>
      <x:c r="N196" s="20"/>
      <x:c r="O196" s="20"/>
      <x:c r="P196" s="20"/>
      <x:c r="Q196" s="20"/>
      <x:c r="R196" s="20"/>
      <x:c r="S196" s="20"/>
      <x:c r="T196" s="20"/>
      <x:c r="U196" s="20"/>
      <x:c r="V196" s="20"/>
      <x:c r="W196" s="20"/>
      <x:c r="X196" s="20"/>
      <x:c r="Y196" s="20"/>
      <x:c r="Z196" s="20"/>
    </x:row>
    <x:row r="197">
      <x:c r="A197" s="20"/>
      <x:c r="B197" s="20"/>
      <x:c r="C197" s="20"/>
      <x:c r="D197" s="20"/>
      <x:c r="E197" s="20"/>
      <x:c r="F197" s="20"/>
      <x:c r="G197" s="20"/>
      <x:c r="H197" s="20"/>
      <x:c r="I197" s="20"/>
      <x:c r="J197" s="20"/>
      <x:c r="K197" s="20"/>
      <x:c r="L197" s="20"/>
      <x:c r="M197" s="20"/>
      <x:c r="N197" s="20"/>
      <x:c r="O197" s="20"/>
      <x:c r="P197" s="20"/>
      <x:c r="Q197" s="20"/>
      <x:c r="R197" s="20"/>
      <x:c r="S197" s="20"/>
      <x:c r="T197" s="20"/>
      <x:c r="U197" s="20"/>
      <x:c r="V197" s="20"/>
      <x:c r="W197" s="20"/>
      <x:c r="X197" s="20"/>
      <x:c r="Y197" s="20"/>
      <x:c r="Z197" s="20"/>
    </x:row>
    <x:row r="198">
      <x:c r="A198" s="20"/>
      <x:c r="B198" s="20"/>
      <x:c r="C198" s="20"/>
      <x:c r="D198" s="20"/>
      <x:c r="E198" s="20"/>
      <x:c r="F198" s="20"/>
      <x:c r="G198" s="20"/>
      <x:c r="H198" s="20"/>
      <x:c r="I198" s="20"/>
      <x:c r="J198" s="20"/>
      <x:c r="K198" s="20"/>
      <x:c r="L198" s="20"/>
      <x:c r="M198" s="20"/>
      <x:c r="N198" s="20"/>
      <x:c r="O198" s="20"/>
      <x:c r="P198" s="20"/>
      <x:c r="Q198" s="20"/>
      <x:c r="R198" s="20"/>
      <x:c r="S198" s="20"/>
      <x:c r="T198" s="20"/>
      <x:c r="U198" s="20"/>
      <x:c r="V198" s="20"/>
      <x:c r="W198" s="20"/>
      <x:c r="X198" s="20"/>
      <x:c r="Y198" s="20"/>
      <x:c r="Z198" s="20"/>
    </x:row>
    <x:row r="199">
      <x:c r="A199" s="20"/>
      <x:c r="B199" s="20"/>
      <x:c r="C199" s="20"/>
      <x:c r="D199" s="20"/>
      <x:c r="E199" s="20"/>
      <x:c r="F199" s="20"/>
      <x:c r="G199" s="20"/>
      <x:c r="H199" s="20"/>
      <x:c r="I199" s="20"/>
      <x:c r="J199" s="20"/>
      <x:c r="K199" s="20"/>
      <x:c r="L199" s="20"/>
      <x:c r="M199" s="20"/>
      <x:c r="N199" s="20"/>
      <x:c r="O199" s="20"/>
      <x:c r="P199" s="20"/>
      <x:c r="Q199" s="20"/>
      <x:c r="R199" s="20"/>
      <x:c r="S199" s="20"/>
      <x:c r="T199" s="20"/>
      <x:c r="U199" s="20"/>
      <x:c r="V199" s="20"/>
      <x:c r="W199" s="20"/>
      <x:c r="X199" s="20"/>
      <x:c r="Y199" s="20"/>
      <x:c r="Z199" s="20"/>
    </x:row>
    <x:row r="200">
      <x:c r="A200" s="20"/>
      <x:c r="B200" s="20"/>
      <x:c r="C200" s="20"/>
      <x:c r="D200" s="20"/>
      <x:c r="E200" s="20"/>
      <x:c r="F200" s="20"/>
      <x:c r="G200" s="20"/>
      <x:c r="H200" s="20"/>
      <x:c r="I200" s="20"/>
      <x:c r="J200" s="20"/>
      <x:c r="K200" s="20"/>
      <x:c r="L200" s="20"/>
      <x:c r="M200" s="20"/>
      <x:c r="N200" s="20"/>
      <x:c r="O200" s="20"/>
      <x:c r="P200" s="20"/>
      <x:c r="Q200" s="20"/>
      <x:c r="R200" s="20"/>
      <x:c r="S200" s="20"/>
      <x:c r="T200" s="20"/>
      <x:c r="U200" s="20"/>
      <x:c r="V200" s="20"/>
      <x:c r="W200" s="20"/>
      <x:c r="X200" s="20"/>
      <x:c r="Y200" s="20"/>
      <x:c r="Z200" s="20"/>
    </x:row>
  </x:sheetData>
  <x:pageMargins left="0.7" right="0.7" top="0.75" bottom="0.75" header="0.3" footer="0.3"/>
  <x:tableParts count="1">
    <x:tablePart xmlns:r="http://schemas.openxmlformats.org/officeDocument/2006/relationships" r:id="R71f06c5a586646f3"/>
  </x:tableParts>
</x:worksheet>
</file>

<file path=xl/worksheets/sheet6.xml><?xml version="1.0" encoding="utf-8"?>
<x:worksheet xmlns:x="http://schemas.openxmlformats.org/spreadsheetml/2006/main">
  <x:sheetFormatPr defaultRowHeight="15"/>
  <x:cols>
    <x:col min="1" max="1" width="13" hidden="0" customWidth="1"/>
    <x:col min="2" max="2" width="16" hidden="0" customWidth="1"/>
    <x:col min="3" max="3" width="3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9" hidden="0" customWidth="1"/>
    <x:col min="13" max="13" width="54" hidden="0" customWidth="1"/>
    <x:col min="14" max="14" width="21" hidden="0" customWidth="1"/>
    <x:col min="15" max="15" width="21" hidden="0" customWidth="1"/>
    <x:col min="16" max="16" width="23" hidden="0" customWidth="1"/>
  </x:cols>
  <x:sheetData>
    <x:row r="1">
      <x:c r="A1" s="6" t="str">
        <x:v>Month</x:v>
      </x:c>
      <x:c r="B1" s="6" t="str">
        <x:v>MSRP Tier (Provisional)</x:v>
      </x:c>
      <x:c r="C1" s="6" t="str">
        <x:v>MSRP Status</x:v>
      </x:c>
      <x:c r="D1" s="6" t="str">
        <x:v>Thermoplastic Plastics / Resin PPI</x:v>
      </x:c>
      <x:c r="E1" s="6" t="str">
        <x:v>Tooling / Dies</x:v>
      </x:c>
      <x:c r="F1" s="6" t="str">
        <x:v>Paints</x:v>
      </x:c>
      <x:c r="G1" s="6" t="str">
        <x:v>Printing Ink</x:v>
      </x:c>
      <x:c r="H1" s="6" t="str">
        <x:v>Adhesives</x:v>
      </x:c>
      <x:c r="I1" s="6" t="str">
        <x:v>Paperboard Packaging</x:v>
      </x:c>
      <x:c r="J1" s="6" t="str">
        <x:v>Corrugated Cartons</x:v>
      </x:c>
      <x:c r="K1" s="6" t="str">
        <x:v>USD/CNY</x:v>
      </x:c>
      <x:c r="L1" s="6" t="str">
        <x:v>Deep Sea Freight PPI</x:v>
      </x:c>
      <x:c r="M1" s="6" t="str">
        <x:v>Notes</x:v>
      </x:c>
      <x:c r="N1" s="20" t="str">
        <x:v>Toy/Hobby Retail Sales ($m, NSA)</x:v>
      </x:c>
      <x:c r="O1" s="20" t="str">
        <x:v>Toy/Hobby Retail Sales YoY %</x:v>
      </x:c>
      <x:c r="P1" s="20" t="str">
        <x:v>Packaging Composite (Jan 2019=100)</x:v>
      </x:c>
      <x:c r="Q1" s="20"/>
      <x:c r="R1" s="20"/>
      <x:c r="S1" s="20"/>
      <x:c r="T1" s="20"/>
      <x:c r="U1" s="20"/>
      <x:c r="V1" s="20"/>
      <x:c r="W1" s="20"/>
      <x:c r="X1" s="20"/>
      <x:c r="Y1" s="20"/>
      <x:c r="Z1" s="20"/>
    </x:row>
    <x:row r="2">
      <x:c r="A2" s="21" t="n">
        <x:v>43466</x:v>
      </x:c>
      <x:c r="B2" s="28" t="n">
        <x:v>19.99</x:v>
      </x:c>
      <x:c r="C2" s="20" t="str">
        <x:v>Validated retail regime</x:v>
      </x:c>
      <x:c r="D2" s="22" t="n">
        <x:v>237.9</x:v>
      </x:c>
      <x:c r="E2" s="22" t="n">
        <x:v>192</x:v>
      </x:c>
      <x:c r="F2" s="22" t="n">
        <x:v>289</x:v>
      </x:c>
      <x:c r="G2" s="22" t="n">
        <x:v>215.7</x:v>
      </x:c>
      <x:c r="H2" s="22" t="n">
        <x:v>265.9</x:v>
      </x:c>
      <x:c r="I2" s="22" t="n">
        <x:v>110.6</x:v>
      </x:c>
      <x:c r="J2" s="22" t="n">
        <x:v>271.1</x:v>
      </x:c>
      <x:c r="K2" s="33" t="n">
        <x:v>6.7863</x:v>
      </x:c>
      <x:c r="L2" s="22" t="n">
        <x:v>307.2</x:v>
      </x:c>
      <x:c r="M2" s="20" t="str">
        <x:v>Macro-series cells reserved for validated monthly observations; source IDs are in Source Register.</x:v>
      </x:c>
      <x:c r="N2" s="64" t="n">
        <x:v>1067</x:v>
      </x:c>
      <x:c r="O2" s="23" t="n">
        <x:v>-0.06073943661971826</x:v>
      </x:c>
      <x:c r="P2" s="40" t="n">
        <x:v>100</x:v>
      </x:c>
      <x:c r="Q2" s="20"/>
      <x:c r="R2" s="20"/>
      <x:c r="S2" s="20"/>
      <x:c r="T2" s="20"/>
      <x:c r="U2" s="20"/>
      <x:c r="V2" s="20"/>
      <x:c r="W2" s="20"/>
      <x:c r="X2" s="20"/>
      <x:c r="Y2" s="20"/>
      <x:c r="Z2" s="20"/>
    </x:row>
    <x:row r="3">
      <x:c r="A3" s="21" t="n">
        <x:v>43497</x:v>
      </x:c>
      <x:c r="B3" s="28" t="n">
        <x:v>19.99</x:v>
      </x:c>
      <x:c r="C3" s="20" t="str">
        <x:v>Validated retail regime</x:v>
      </x:c>
      <x:c r="D3" s="22" t="n">
        <x:v>231.4</x:v>
      </x:c>
      <x:c r="E3" s="22" t="n">
        <x:v>192</x:v>
      </x:c>
      <x:c r="F3" s="22" t="n">
        <x:v>289.9</x:v>
      </x:c>
      <x:c r="G3" s="22" t="n">
        <x:v>216.2</x:v>
      </x:c>
      <x:c r="H3" s="22" t="n">
        <x:v>265.8</x:v>
      </x:c>
      <x:c r="I3" s="22" t="n">
        <x:v>111.1</x:v>
      </x:c>
      <x:c r="J3" s="22" t="n">
        <x:v>270.8</x:v>
      </x:c>
      <x:c r="K3" s="33" t="n">
        <x:v>6.7367</x:v>
      </x:c>
      <x:c r="L3" s="22" t="n">
        <x:v>306.5</x:v>
      </x:c>
      <x:c r="M3" s="20" t="str">
        <x:v>Macro-series cells reserved for validated monthly observations; source IDs are in Source Register.</x:v>
      </x:c>
      <x:c r="N3" s="64" t="n">
        <x:v>1025</x:v>
      </x:c>
      <x:c r="O3" s="23" t="n">
        <x:v>-0.1284013605442177</x:v>
      </x:c>
      <x:c r="P3" s="40" t="n">
        <x:v>100.13390365009444</x:v>
      </x:c>
      <x:c r="Q3" s="20"/>
      <x:c r="R3" s="20"/>
      <x:c r="S3" s="20"/>
      <x:c r="T3" s="20"/>
      <x:c r="U3" s="20"/>
      <x:c r="V3" s="20"/>
      <x:c r="W3" s="20"/>
      <x:c r="X3" s="20"/>
      <x:c r="Y3" s="20"/>
      <x:c r="Z3" s="20"/>
    </x:row>
    <x:row r="4">
      <x:c r="A4" s="21" t="n">
        <x:v>43525</x:v>
      </x:c>
      <x:c r="B4" s="28" t="n">
        <x:v>19.99</x:v>
      </x:c>
      <x:c r="C4" s="20" t="str">
        <x:v>Validated retail regime</x:v>
      </x:c>
      <x:c r="D4" s="22" t="n">
        <x:v>227</x:v>
      </x:c>
      <x:c r="E4" s="22" t="n">
        <x:v>192</x:v>
      </x:c>
      <x:c r="F4" s="22" t="n">
        <x:v>289.2</x:v>
      </x:c>
      <x:c r="G4" s="22" t="n">
        <x:v>216.3</x:v>
      </x:c>
      <x:c r="H4" s="22" t="n">
        <x:v>266.6</x:v>
      </x:c>
      <x:c r="I4" s="22" t="n">
        <x:v>113.5</x:v>
      </x:c>
      <x:c r="J4" s="22" t="n">
        <x:v>270.7</x:v>
      </x:c>
      <x:c r="K4" s="33" t="n">
        <x:v>6.7119</x:v>
      </x:c>
      <x:c r="L4" s="22" t="n">
        <x:v>308.2</x:v>
      </x:c>
      <x:c r="M4" s="20" t="str">
        <x:v>Macro-series cells reserved for validated monthly observations; source IDs are in Source Register.</x:v>
      </x:c>
      <x:c r="N4" s="64" t="n">
        <x:v>1190</x:v>
      </x:c>
      <x:c r="O4" s="23" t="n">
        <x:v>-0.27571515520389533</x:v>
      </x:c>
      <x:c r="P4" s="40" t="n">
        <x:v>100.7539838581291</x:v>
      </x:c>
      <x:c r="Q4" s="20"/>
      <x:c r="R4" s="20"/>
      <x:c r="S4" s="20"/>
      <x:c r="T4" s="20"/>
      <x:c r="U4" s="20"/>
      <x:c r="V4" s="20"/>
      <x:c r="W4" s="20"/>
      <x:c r="X4" s="20"/>
      <x:c r="Y4" s="20"/>
      <x:c r="Z4" s="20"/>
    </x:row>
    <x:row r="5">
      <x:c r="A5" s="21" t="n">
        <x:v>43556</x:v>
      </x:c>
      <x:c r="B5" s="28" t="n">
        <x:v>19.99</x:v>
      </x:c>
      <x:c r="C5" s="20" t="str">
        <x:v>Validated retail regime</x:v>
      </x:c>
      <x:c r="D5" s="22" t="n">
        <x:v>224.8</x:v>
      </x:c>
      <x:c r="E5" s="22" t="n">
        <x:v>192</x:v>
      </x:c>
      <x:c r="F5" s="22" t="n">
        <x:v>290</x:v>
      </x:c>
      <x:c r="G5" s="22" t="n">
        <x:v>216.6</x:v>
      </x:c>
      <x:c r="H5" s="22" t="n">
        <x:v>267</x:v>
      </x:c>
      <x:c r="I5" s="22" t="n">
        <x:v>112.1</x:v>
      </x:c>
      <x:c r="J5" s="22" t="n">
        <x:v>270.7</x:v>
      </x:c>
      <x:c r="K5" s="33" t="n">
        <x:v>6.7161</x:v>
      </x:c>
      <x:c r="L5" s="22" t="n">
        <x:v>309.5</x:v>
      </x:c>
      <x:c r="M5" s="20" t="str">
        <x:v>Macro-series cells reserved for validated monthly observations; source IDs are in Source Register.</x:v>
      </x:c>
      <x:c r="N5" s="64" t="n">
        <x:v>1089</x:v>
      </x:c>
      <x:c r="O5" s="23" t="n">
        <x:v>-0.1603700848111026</x:v>
      </x:c>
      <x:c r="P5" s="40" t="n">
        <x:v>100.50990679988482</x:v>
      </x:c>
      <x:c r="Q5" s="20"/>
      <x:c r="R5" s="20"/>
      <x:c r="S5" s="20"/>
      <x:c r="T5" s="20"/>
      <x:c r="U5" s="20"/>
      <x:c r="V5" s="20"/>
      <x:c r="W5" s="20"/>
      <x:c r="X5" s="20"/>
      <x:c r="Y5" s="20"/>
      <x:c r="Z5" s="20"/>
    </x:row>
    <x:row r="6">
      <x:c r="A6" s="21" t="n">
        <x:v>43586</x:v>
      </x:c>
      <x:c r="B6" s="28" t="n">
        <x:v>19.99</x:v>
      </x:c>
      <x:c r="C6" s="20" t="str">
        <x:v>Validated retail regime</x:v>
      </x:c>
      <x:c r="D6" s="22" t="n">
        <x:v>227.8</x:v>
      </x:c>
      <x:c r="E6" s="22" t="n">
        <x:v>192.1</x:v>
      </x:c>
      <x:c r="F6" s="22" t="n">
        <x:v>293.2</x:v>
      </x:c>
      <x:c r="G6" s="22" t="n">
        <x:v>216.7</x:v>
      </x:c>
      <x:c r="H6" s="22" t="n">
        <x:v>267.1</x:v>
      </x:c>
      <x:c r="I6" s="22" t="n">
        <x:v>112.3</x:v>
      </x:c>
      <x:c r="J6" s="22" t="n">
        <x:v>270.7</x:v>
      </x:c>
      <x:c r="K6" s="33" t="n">
        <x:v>6.8519</x:v>
      </x:c>
      <x:c r="L6" s="22" t="n">
        <x:v>310.2</x:v>
      </x:c>
      <x:c r="M6" s="20" t="str">
        <x:v>Macro-series cells reserved for validated monthly observations; source IDs are in Source Register.</x:v>
      </x:c>
      <x:c r="N6" s="64" t="n">
        <x:v>1159</x:v>
      </x:c>
      <x:c r="O6" s="23" t="n">
        <x:v>-0.15524781341107874</x:v>
      </x:c>
      <x:c r="P6" s="40" t="n">
        <x:v>100.57610695885839</x:v>
      </x:c>
      <x:c r="Q6" s="20"/>
      <x:c r="R6" s="20"/>
      <x:c r="S6" s="20"/>
      <x:c r="T6" s="20"/>
      <x:c r="U6" s="20"/>
      <x:c r="V6" s="20"/>
      <x:c r="W6" s="20"/>
      <x:c r="X6" s="20"/>
      <x:c r="Y6" s="20"/>
      <x:c r="Z6" s="20"/>
    </x:row>
    <x:row r="7">
      <x:c r="A7" s="21" t="n">
        <x:v>43617</x:v>
      </x:c>
      <x:c r="B7" s="28" t="n">
        <x:v>19.99</x:v>
      </x:c>
      <x:c r="C7" s="20" t="str">
        <x:v>Validated retail regime</x:v>
      </x:c>
      <x:c r="D7" s="22" t="n">
        <x:v>224.1</x:v>
      </x:c>
      <x:c r="E7" s="22" t="n">
        <x:v>192.1</x:v>
      </x:c>
      <x:c r="F7" s="22" t="n">
        <x:v>293.1</x:v>
      </x:c>
      <x:c r="G7" s="22" t="n">
        <x:v>216.7</x:v>
      </x:c>
      <x:c r="H7" s="22" t="n">
        <x:v>266.8</x:v>
      </x:c>
      <x:c r="I7" s="22" t="n">
        <x:v>113.8</x:v>
      </x:c>
      <x:c r="J7" s="22" t="n">
        <x:v>270.5</x:v>
      </x:c>
      <x:c r="K7" s="33" t="n">
        <x:v>6.8977</x:v>
      </x:c>
      <x:c r="L7" s="22" t="n">
        <x:v>309.3</x:v>
      </x:c>
      <x:c r="M7" s="20" t="str">
        <x:v>Macro-series cells reserved for validated monthly observations; source IDs are in Source Register.</x:v>
      </x:c>
      <x:c r="N7" s="64" t="n">
        <x:v>1097</x:v>
      </x:c>
      <x:c r="O7" s="23" t="n">
        <x:v>-0.08659450457951712</x:v>
      </x:c>
      <x:c r="P7" s="40" t="n">
        <x:v>100.86851716201812</x:v>
      </x:c>
      <x:c r="Q7" s="20"/>
      <x:c r="R7" s="20"/>
      <x:c r="S7" s="20"/>
      <x:c r="T7" s="20"/>
      <x:c r="U7" s="20"/>
      <x:c r="V7" s="20"/>
      <x:c r="W7" s="20"/>
      <x:c r="X7" s="20"/>
      <x:c r="Y7" s="20"/>
      <x:c r="Z7" s="20"/>
    </x:row>
    <x:row r="8">
      <x:c r="A8" s="21" t="n">
        <x:v>43647</x:v>
      </x:c>
      <x:c r="B8" s="28" t="n">
        <x:v>19.99</x:v>
      </x:c>
      <x:c r="C8" s="20" t="str">
        <x:v>Validated retail regime</x:v>
      </x:c>
      <x:c r="D8" s="22" t="n">
        <x:v>223.7</x:v>
      </x:c>
      <x:c r="E8" s="22" t="n">
        <x:v>192.1</x:v>
      </x:c>
      <x:c r="F8" s="22" t="n">
        <x:v>296.3</x:v>
      </x:c>
      <x:c r="G8" s="22" t="n">
        <x:v>216.8</x:v>
      </x:c>
      <x:c r="H8" s="22" t="n">
        <x:v>267.1</x:v>
      </x:c>
      <x:c r="I8" s="22" t="n">
        <x:v>114.1</x:v>
      </x:c>
      <x:c r="J8" s="22" t="n">
        <x:v>268.8</x:v>
      </x:c>
      <x:c r="K8" s="33" t="n">
        <x:v>6.8775</x:v>
      </x:c>
      <x:c r="L8" s="22" t="n">
        <x:v>313.7</x:v>
      </x:c>
      <x:c r="M8" s="20" t="str">
        <x:v>Macro-series cells reserved for validated monthly observations; source IDs are in Source Register.</x:v>
      </x:c>
      <x:c r="N8" s="64" t="n">
        <x:v>1105</x:v>
      </x:c>
      <x:c r="O8" s="23" t="n">
        <x:v>0.10943775100401609</x:v>
      </x:c>
      <x:c r="P8" s="40" t="n">
        <x:v>100.81935664093967</x:v>
      </x:c>
      <x:c r="Q8" s="20"/>
      <x:c r="R8" s="20"/>
      <x:c r="S8" s="20"/>
      <x:c r="T8" s="20"/>
      <x:c r="U8" s="20"/>
      <x:c r="V8" s="20"/>
      <x:c r="W8" s="20"/>
      <x:c r="X8" s="20"/>
      <x:c r="Y8" s="20"/>
      <x:c r="Z8" s="20"/>
    </x:row>
    <x:row r="9">
      <x:c r="A9" s="21" t="n">
        <x:v>43678</x:v>
      </x:c>
      <x:c r="B9" s="28" t="n">
        <x:v>19.99</x:v>
      </x:c>
      <x:c r="C9" s="20" t="str">
        <x:v>Validated retail regime</x:v>
      </x:c>
      <x:c r="D9" s="22" t="n">
        <x:v>224.1</x:v>
      </x:c>
      <x:c r="E9" s="22" t="n">
        <x:v>192.1</x:v>
      </x:c>
      <x:c r="F9" s="22" t="n">
        <x:v>294.1</x:v>
      </x:c>
      <x:c r="G9" s="22" t="n">
        <x:v>217.9</x:v>
      </x:c>
      <x:c r="H9" s="22" t="n">
        <x:v>267.4</x:v>
      </x:c>
      <x:c r="I9" s="22" t="n">
        <x:v>113.9</x:v>
      </x:c>
      <x:c r="J9" s="22" t="n">
        <x:v>269</x:v>
      </x:c>
      <x:c r="K9" s="33" t="n">
        <x:v>7.0629</x:v>
      </x:c>
      <x:c r="L9" s="22" t="n">
        <x:v>304.2</x:v>
      </x:c>
      <x:c r="M9" s="20" t="str">
        <x:v>Macro-series cells reserved for validated monthly observations; source IDs are in Source Register.</x:v>
      </x:c>
      <x:c r="N9" s="64" t="n">
        <x:v>1190</x:v>
      </x:c>
      <x:c r="O9" s="23" t="n">
        <x:v>0.1354961832061068</x:v>
      </x:c>
      <x:c r="P9" s="40" t="n">
        <x:v>100.94829004256223</x:v>
      </x:c>
      <x:c r="Q9" s="20"/>
      <x:c r="R9" s="20"/>
      <x:c r="S9" s="20"/>
      <x:c r="T9" s="20"/>
      <x:c r="U9" s="20"/>
      <x:c r="V9" s="20"/>
      <x:c r="W9" s="20"/>
      <x:c r="X9" s="20"/>
      <x:c r="Y9" s="20"/>
      <x:c r="Z9" s="20"/>
    </x:row>
    <x:row r="10">
      <x:c r="A10" s="21" t="n">
        <x:v>43709</x:v>
      </x:c>
      <x:c r="B10" s="28" t="n">
        <x:v>19.99</x:v>
      </x:c>
      <x:c r="C10" s="20" t="str">
        <x:v>Validated retail regime</x:v>
      </x:c>
      <x:c r="D10" s="22" t="n">
        <x:v>223.9</x:v>
      </x:c>
      <x:c r="E10" s="22" t="n">
        <x:v>192.1</x:v>
      </x:c>
      <x:c r="F10" s="22" t="n">
        <x:v>295.3</x:v>
      </x:c>
      <x:c r="G10" s="22" t="n">
        <x:v>218.1</x:v>
      </x:c>
      <x:c r="H10" s="22" t="n">
        <x:v>267.2</x:v>
      </x:c>
      <x:c r="I10" s="22" t="n">
        <x:v>114.2</x:v>
      </x:c>
      <x:c r="J10" s="22" t="n">
        <x:v>268.6</x:v>
      </x:c>
      <x:c r="K10" s="33" t="n">
        <x:v>7.1137</x:v>
      </x:c>
      <x:c r="L10" s="22" t="n">
        <x:v>305</x:v>
      </x:c>
      <x:c r="M10" s="20" t="str">
        <x:v>Macro-series cells reserved for validated monthly observations; source IDs are in Source Register.</x:v>
      </x:c>
      <x:c r="N10" s="64" t="n">
        <x:v>1175</x:v>
      </x:c>
      <x:c r="O10" s="23" t="n">
        <x:v>0.045373665480427094</x:v>
      </x:c>
      <x:c r="P10" s="40" t="n">
        <x:v>100.98359150120052</x:v>
      </x:c>
      <x:c r="Q10" s="20"/>
      <x:c r="R10" s="20"/>
      <x:c r="S10" s="20"/>
      <x:c r="T10" s="20"/>
      <x:c r="U10" s="20"/>
      <x:c r="V10" s="20"/>
      <x:c r="W10" s="20"/>
      <x:c r="X10" s="20"/>
      <x:c r="Y10" s="20"/>
      <x:c r="Z10" s="20"/>
    </x:row>
    <x:row r="11">
      <x:c r="A11" s="21" t="n">
        <x:v>43739</x:v>
      </x:c>
      <x:c r="B11" s="28" t="n">
        <x:v>19.99</x:v>
      </x:c>
      <x:c r="C11" s="20" t="str">
        <x:v>Validated retail regime</x:v>
      </x:c>
      <x:c r="D11" s="22" t="n">
        <x:v>224.7</x:v>
      </x:c>
      <x:c r="E11" s="22" t="n">
        <x:v>191.9</x:v>
      </x:c>
      <x:c r="F11" s="22" t="n">
        <x:v>295.1</x:v>
      </x:c>
      <x:c r="G11" s="22" t="n">
        <x:v>217.9</x:v>
      </x:c>
      <x:c r="H11" s="22" t="n">
        <x:v>267.3</x:v>
      </x:c>
      <x:c r="I11" s="22" t="n">
        <x:v>114</x:v>
      </x:c>
      <x:c r="J11" s="22" t="n">
        <x:v>267.1</x:v>
      </x:c>
      <x:c r="K11" s="33" t="n">
        <x:v>7.0961</x:v>
      </x:c>
      <x:c r="L11" s="22" t="n">
        <x:v>302.9</x:v>
      </x:c>
      <x:c r="M11" s="20" t="str">
        <x:v>Macro-series cells reserved for validated monthly observations; source IDs are in Source Register.</x:v>
      </x:c>
      <x:c r="N11" s="64" t="n">
        <x:v>1319</x:v>
      </x:c>
      <x:c r="O11" s="23" t="n">
        <x:v>0.08292282430213471</x:v>
      </x:c>
      <x:c r="P11" s="40" t="n">
        <x:v>100.78627989116724</x:v>
      </x:c>
      <x:c r="Q11" s="20"/>
      <x:c r="R11" s="20"/>
      <x:c r="S11" s="20"/>
      <x:c r="T11" s="20"/>
      <x:c r="U11" s="20"/>
      <x:c r="V11" s="20"/>
      <x:c r="W11" s="20"/>
      <x:c r="X11" s="20"/>
      <x:c r="Y11" s="20"/>
      <x:c r="Z11" s="20"/>
    </x:row>
    <x:row r="12">
      <x:c r="A12" s="21" t="n">
        <x:v>43770</x:v>
      </x:c>
      <x:c r="B12" s="28" t="n">
        <x:v>19.99</x:v>
      </x:c>
      <x:c r="C12" s="20" t="str">
        <x:v>Validated retail regime</x:v>
      </x:c>
      <x:c r="D12" s="22" t="n">
        <x:v>221.6</x:v>
      </x:c>
      <x:c r="E12" s="22" t="n">
        <x:v>191.9</x:v>
      </x:c>
      <x:c r="F12" s="22" t="n">
        <x:v>295.1</x:v>
      </x:c>
      <x:c r="G12" s="22" t="n">
        <x:v>217.9</x:v>
      </x:c>
      <x:c r="H12" s="22" t="n">
        <x:v>267.4</x:v>
      </x:c>
      <x:c r="I12" s="22" t="n">
        <x:v>114.3</x:v>
      </x:c>
      <x:c r="J12" s="22" t="n">
        <x:v>267</x:v>
      </x:c>
      <x:c r="K12" s="33" t="n">
        <x:v>7.0199</x:v>
      </x:c>
      <x:c r="L12" s="22" t="n">
        <x:v>316.9</x:v>
      </x:c>
      <x:c r="M12" s="20" t="str">
        <x:v>Macro-series cells reserved for validated monthly observations; source IDs are in Source Register.</x:v>
      </x:c>
      <x:c r="N12" s="64" t="n">
        <x:v>1935</x:v>
      </x:c>
      <x:c r="O12" s="23" t="n">
        <x:v>0.025437201907790197</x:v>
      </x:c>
      <x:c r="P12" s="40" t="n">
        <x:v>100.85427216749294</x:v>
      </x:c>
      <x:c r="Q12" s="20"/>
      <x:c r="R12" s="20"/>
      <x:c r="S12" s="20"/>
      <x:c r="T12" s="20"/>
      <x:c r="U12" s="20"/>
      <x:c r="V12" s="20"/>
      <x:c r="W12" s="20"/>
      <x:c r="X12" s="20"/>
      <x:c r="Y12" s="20"/>
      <x:c r="Z12" s="20"/>
    </x:row>
    <x:row r="13">
      <x:c r="A13" s="21" t="n">
        <x:v>43800</x:v>
      </x:c>
      <x:c r="B13" s="28" t="n">
        <x:v>19.99</x:v>
      </x:c>
      <x:c r="C13" s="20" t="str">
        <x:v>Validated retail regime</x:v>
      </x:c>
      <x:c r="D13" s="22" t="n">
        <x:v>216.5</x:v>
      </x:c>
      <x:c r="E13" s="22" t="n">
        <x:v>189.6</x:v>
      </x:c>
      <x:c r="F13" s="22" t="n">
        <x:v>295.1</x:v>
      </x:c>
      <x:c r="G13" s="22" t="n">
        <x:v>218.1</x:v>
      </x:c>
      <x:c r="H13" s="22" t="n">
        <x:v>267.4</x:v>
      </x:c>
      <x:c r="I13" s="22" t="n">
        <x:v>114.3</x:v>
      </x:c>
      <x:c r="J13" s="22" t="n">
        <x:v>267.1</x:v>
      </x:c>
      <x:c r="K13" s="33" t="n">
        <x:v>7.0137</x:v>
      </x:c>
      <x:c r="L13" s="22" t="n">
        <x:v>320.6</x:v>
      </x:c>
      <x:c r="M13" s="20" t="str">
        <x:v>Macro-series cells reserved for validated monthly observations; source IDs are in Source Register.</x:v>
      </x:c>
      <x:c r="N13" s="64" t="n">
        <x:v>2164</x:v>
      </x:c>
      <x:c r="O13" s="23" t="n">
        <x:v>0.08525576730190565</x:v>
      </x:c>
      <x:c r="P13" s="40" t="n">
        <x:v>100.88667419997552</x:v>
      </x:c>
      <x:c r="Q13" s="20"/>
      <x:c r="R13" s="20"/>
      <x:c r="S13" s="20"/>
      <x:c r="T13" s="20"/>
      <x:c r="U13" s="20"/>
      <x:c r="V13" s="20"/>
      <x:c r="W13" s="20"/>
      <x:c r="X13" s="20"/>
      <x:c r="Y13" s="20"/>
      <x:c r="Z13" s="20"/>
    </x:row>
    <x:row r="14">
      <x:c r="A14" s="21" t="n">
        <x:v>43831</x:v>
      </x:c>
      <x:c r="B14" s="28" t="n">
        <x:v>19.99</x:v>
      </x:c>
      <x:c r="C14" s="20" t="str">
        <x:v>Validated retail regime</x:v>
      </x:c>
      <x:c r="D14" s="22" t="n">
        <x:v>215.8</x:v>
      </x:c>
      <x:c r="E14" s="22" t="n">
        <x:v>189.6</x:v>
      </x:c>
      <x:c r="F14" s="22" t="n">
        <x:v>296.2</x:v>
      </x:c>
      <x:c r="G14" s="22" t="n">
        <x:v>216.6</x:v>
      </x:c>
      <x:c r="H14" s="22" t="n">
        <x:v>269</x:v>
      </x:c>
      <x:c r="I14" s="22" t="n">
        <x:v>114.4</x:v>
      </x:c>
      <x:c r="J14" s="22" t="n">
        <x:v>266.2</x:v>
      </x:c>
      <x:c r="K14" s="33" t="n">
        <x:v>6.9184</x:v>
      </x:c>
      <x:c r="L14" s="22" t="n">
        <x:v>320.8</x:v>
      </x:c>
      <x:c r="M14" s="20" t="str">
        <x:v>Macro-series cells reserved for validated monthly observations; source IDs are in Source Register.</x:v>
      </x:c>
      <x:c r="N14" s="64" t="n">
        <x:v>1109</x:v>
      </x:c>
      <x:c r="O14" s="23" t="n">
        <x:v>0.03936269915651369</x:v>
      </x:c>
      <x:c r="P14" s="40" t="n">
        <x:v>100.8028628939547</x:v>
      </x:c>
      <x:c r="Q14" s="20"/>
      <x:c r="R14" s="20"/>
      <x:c r="S14" s="20"/>
      <x:c r="T14" s="20"/>
      <x:c r="U14" s="20"/>
      <x:c r="V14" s="20"/>
      <x:c r="W14" s="20"/>
      <x:c r="X14" s="20"/>
      <x:c r="Y14" s="20"/>
      <x:c r="Z14" s="20"/>
    </x:row>
    <x:row r="15">
      <x:c r="A15" s="21" t="n">
        <x:v>43862</x:v>
      </x:c>
      <x:c r="B15" s="28" t="n">
        <x:v>19.99</x:v>
      </x:c>
      <x:c r="C15" s="20" t="str">
        <x:v>Validated retail regime</x:v>
      </x:c>
      <x:c r="D15" s="22" t="n">
        <x:v>219.8</x:v>
      </x:c>
      <x:c r="E15" s="22" t="n">
        <x:v>190.1</x:v>
      </x:c>
      <x:c r="F15" s="22" t="n">
        <x:v>296.3</x:v>
      </x:c>
      <x:c r="G15" s="22" t="n">
        <x:v>216.7</x:v>
      </x:c>
      <x:c r="H15" s="22" t="n">
        <x:v>269</x:v>
      </x:c>
      <x:c r="I15" s="22" t="n">
        <x:v>115</x:v>
      </x:c>
      <x:c r="J15" s="22" t="n">
        <x:v>265.6</x:v>
      </x:c>
      <x:c r="K15" s="33" t="n">
        <x:v>6.9967</x:v>
      </x:c>
      <x:c r="L15" s="22" t="n">
        <x:v>304.1</x:v>
      </x:c>
      <x:c r="M15" s="20" t="str">
        <x:v>Macro-series cells reserved for validated monthly observations; source IDs are in Source Register.</x:v>
      </x:c>
      <x:c r="N15" s="64" t="n">
        <x:v>1134</x:v>
      </x:c>
      <x:c r="O15" s="23" t="n">
        <x:v>0.10634146341463424</x:v>
      </x:c>
      <x:c r="P15" s="40" t="n">
        <x:v>100.89474679880931</x:v>
      </x:c>
      <x:c r="Q15" s="20"/>
      <x:c r="R15" s="20"/>
      <x:c r="S15" s="20"/>
      <x:c r="T15" s="20"/>
      <x:c r="U15" s="20"/>
      <x:c r="V15" s="20"/>
      <x:c r="W15" s="20"/>
      <x:c r="X15" s="20"/>
      <x:c r="Y15" s="20"/>
      <x:c r="Z15" s="20"/>
    </x:row>
    <x:row r="16">
      <x:c r="A16" s="21" t="n">
        <x:v>43891</x:v>
      </x:c>
      <x:c r="B16" s="28" t="n">
        <x:v>19.99</x:v>
      </x:c>
      <x:c r="C16" s="20" t="str">
        <x:v>Validated retail regime</x:v>
      </x:c>
      <x:c r="D16" s="22" t="n">
        <x:v>219.2</x:v>
      </x:c>
      <x:c r="E16" s="22" t="n">
        <x:v>190.1</x:v>
      </x:c>
      <x:c r="F16" s="22" t="n">
        <x:v>295.6</x:v>
      </x:c>
      <x:c r="G16" s="22" t="n">
        <x:v>217.3</x:v>
      </x:c>
      <x:c r="H16" s="22" t="n">
        <x:v>269.5</x:v>
      </x:c>
      <x:c r="I16" s="22" t="n">
        <x:v>114.8</x:v>
      </x:c>
      <x:c r="J16" s="22" t="n">
        <x:v>264.9</x:v>
      </x:c>
      <x:c r="K16" s="33" t="n">
        <x:v>7.0205</x:v>
      </x:c>
      <x:c r="L16" s="22" t="n">
        <x:v>302.1</x:v>
      </x:c>
      <x:c r="M16" s="20" t="str">
        <x:v>Macro-series cells reserved for validated monthly observations; source IDs are in Source Register.</x:v>
      </x:c>
      <x:c r="N16" s="64" t="n">
        <x:v>815</x:v>
      </x:c>
      <x:c r="O16" s="23" t="n">
        <x:v>-0.31512605042016806</x:v>
      </x:c>
      <x:c r="P16" s="40" t="n">
        <x:v>100.90153819971499</x:v>
      </x:c>
      <x:c r="Q16" s="20"/>
      <x:c r="R16" s="20"/>
      <x:c r="S16" s="20"/>
      <x:c r="T16" s="20"/>
      <x:c r="U16" s="20"/>
      <x:c r="V16" s="20"/>
      <x:c r="W16" s="20"/>
      <x:c r="X16" s="20"/>
      <x:c r="Y16" s="20"/>
      <x:c r="Z16" s="20"/>
    </x:row>
    <x:row r="17">
      <x:c r="A17" s="21" t="n">
        <x:v>43922</x:v>
      </x:c>
      <x:c r="B17" s="28" t="n">
        <x:v>19.99</x:v>
      </x:c>
      <x:c r="C17" s="20" t="str">
        <x:v>Validated retail regime</x:v>
      </x:c>
      <x:c r="D17" s="22" t="n">
        <x:v>205.2</x:v>
      </x:c>
      <x:c r="E17" s="22" t="n">
        <x:v>189.9</x:v>
      </x:c>
      <x:c r="F17" s="22" t="n">
        <x:v>298.6</x:v>
      </x:c>
      <x:c r="G17" s="22" t="n">
        <x:v>217.4</x:v>
      </x:c>
      <x:c r="H17" s="22" t="n">
        <x:v>269.5</x:v>
      </x:c>
      <x:c r="I17" s="22" t="n">
        <x:v>115.1</x:v>
      </x:c>
      <x:c r="J17" s="22" t="n">
        <x:v>264.3</x:v>
      </x:c>
      <x:c r="K17" s="33" t="n">
        <x:v>7.0708</x:v>
      </x:c>
      <x:c r="L17" s="22" t="n">
        <x:v>286.9</x:v>
      </x:c>
      <x:c r="M17" s="20" t="str">
        <x:v>Macro-series cells reserved for validated monthly observations; source IDs are in Source Register.</x:v>
      </x:c>
      <x:c r="N17" s="64" t="n">
        <x:v>339</x:v>
      </x:c>
      <x:c r="O17" s="23" t="n">
        <x:v>-0.6887052341597797</x:v>
      </x:c>
      <x:c r="P17" s="40" t="n">
        <x:v>100.92561016966906</x:v>
      </x:c>
      <x:c r="Q17" s="20"/>
      <x:c r="R17" s="20"/>
      <x:c r="S17" s="20"/>
      <x:c r="T17" s="20"/>
      <x:c r="U17" s="20"/>
      <x:c r="V17" s="20"/>
      <x:c r="W17" s="20"/>
      <x:c r="X17" s="20"/>
      <x:c r="Y17" s="20"/>
      <x:c r="Z17" s="20"/>
    </x:row>
    <x:row r="18">
      <x:c r="A18" s="21" t="n">
        <x:v>43952</x:v>
      </x:c>
      <x:c r="B18" s="28" t="n">
        <x:v>19.99</x:v>
      </x:c>
      <x:c r="C18" s="20" t="str">
        <x:v>Validated retail regime</x:v>
      </x:c>
      <x:c r="D18" s="22" t="n">
        <x:v>199.6</x:v>
      </x:c>
      <x:c r="E18" s="22" t="n">
        <x:v>189.7</x:v>
      </x:c>
      <x:c r="F18" s="22" t="n">
        <x:v>298.8</x:v>
      </x:c>
      <x:c r="G18" s="22" t="n">
        <x:v>217.4</x:v>
      </x:c>
      <x:c r="H18" s="22" t="n">
        <x:v>270</x:v>
      </x:c>
      <x:c r="I18" s="22" t="n">
        <x:v>115</x:v>
      </x:c>
      <x:c r="J18" s="22" t="n">
        <x:v>264.2</x:v>
      </x:c>
      <x:c r="K18" s="33" t="n">
        <x:v>7.1016</x:v>
      </x:c>
      <x:c r="L18" s="22" t="n">
        <x:v>287</x:v>
      </x:c>
      <x:c r="M18" s="20" t="str">
        <x:v>Macro-series cells reserved for validated monthly observations; source IDs are in Source Register.</x:v>
      </x:c>
      <x:c r="N18" s="64" t="n">
        <x:v>1055</x:v>
      </x:c>
      <x:c r="O18" s="23" t="n">
        <x:v>-0.08973252804141496</x:v>
      </x:c>
      <x:c r="P18" s="40" t="n">
        <x:v>100.94079465614868</x:v>
      </x:c>
      <x:c r="Q18" s="20"/>
      <x:c r="R18" s="20"/>
      <x:c r="S18" s="20"/>
      <x:c r="T18" s="20"/>
      <x:c r="U18" s="20"/>
      <x:c r="V18" s="20"/>
      <x:c r="W18" s="20"/>
      <x:c r="X18" s="20"/>
      <x:c r="Y18" s="20"/>
      <x:c r="Z18" s="20"/>
    </x:row>
    <x:row r="19">
      <x:c r="A19" s="21" t="n">
        <x:v>43983</x:v>
      </x:c>
      <x:c r="B19" s="28" t="n">
        <x:v>19.99</x:v>
      </x:c>
      <x:c r="C19" s="20" t="str">
        <x:v>Validated retail regime</x:v>
      </x:c>
      <x:c r="D19" s="22" t="n">
        <x:v>199.8</x:v>
      </x:c>
      <x:c r="E19" s="22" t="n">
        <x:v>189.6</x:v>
      </x:c>
      <x:c r="F19" s="22" t="n">
        <x:v>299.2</x:v>
      </x:c>
      <x:c r="G19" s="22" t="n">
        <x:v>217.5</x:v>
      </x:c>
      <x:c r="H19" s="22" t="n">
        <x:v>269.6</x:v>
      </x:c>
      <x:c r="I19" s="22" t="n">
        <x:v>113.7</x:v>
      </x:c>
      <x:c r="J19" s="22" t="n">
        <x:v>264.2</x:v>
      </x:c>
      <x:c r="K19" s="33" t="n">
        <x:v>7.0816</x:v>
      </x:c>
      <x:c r="L19" s="22" t="n">
        <x:v>287.8</x:v>
      </x:c>
      <x:c r="M19" s="20" t="str">
        <x:v>Macro-series cells reserved for validated monthly observations; source IDs are in Source Register.</x:v>
      </x:c>
      <x:c r="N19" s="64" t="n">
        <x:v>1337</x:v>
      </x:c>
      <x:c r="O19" s="23" t="n">
        <x:v>0.21877848678213319</x:v>
      </x:c>
      <x:c r="P19" s="40" t="n">
        <x:v>100.62092498642623</x:v>
      </x:c>
      <x:c r="Q19" s="20"/>
      <x:c r="R19" s="20"/>
      <x:c r="S19" s="20"/>
      <x:c r="T19" s="20"/>
      <x:c r="U19" s="20"/>
      <x:c r="V19" s="20"/>
      <x:c r="W19" s="20"/>
      <x:c r="X19" s="20"/>
      <x:c r="Y19" s="20"/>
      <x:c r="Z19" s="20"/>
    </x:row>
    <x:row r="20">
      <x:c r="A20" s="21" t="n">
        <x:v>44013</x:v>
      </x:c>
      <x:c r="B20" s="28" t="n">
        <x:v>19.99</x:v>
      </x:c>
      <x:c r="C20" s="20" t="str">
        <x:v>Validated retail regime</x:v>
      </x:c>
      <x:c r="D20" s="22" t="n">
        <x:v>205.1</x:v>
      </x:c>
      <x:c r="E20" s="22" t="n">
        <x:v>189.8</x:v>
      </x:c>
      <x:c r="F20" s="22" t="n">
        <x:v>299.6</x:v>
      </x:c>
      <x:c r="G20" s="22" t="n">
        <x:v>216.2</x:v>
      </x:c>
      <x:c r="H20" s="22" t="n">
        <x:v>269.2</x:v>
      </x:c>
      <x:c r="I20" s="22" t="n">
        <x:v>114.1</x:v>
      </x:c>
      <x:c r="J20" s="22" t="n">
        <x:v>264.3</x:v>
      </x:c>
      <x:c r="K20" s="33" t="n">
        <x:v>7.0041</x:v>
      </x:c>
      <x:c r="L20" s="22" t="n">
        <x:v>288.6</x:v>
      </x:c>
      <x:c r="M20" s="20" t="str">
        <x:v>Macro-series cells reserved for validated monthly observations; source IDs are in Source Register.</x:v>
      </x:c>
      <x:c r="N20" s="64" t="n">
        <x:v>1322</x:v>
      </x:c>
      <x:c r="O20" s="23" t="n">
        <x:v>0.19638009049773753</x:v>
      </x:c>
      <x:c r="P20" s="40" t="n">
        <x:v>100.5322822357368</x:v>
      </x:c>
      <x:c r="Q20" s="20"/>
      <x:c r="R20" s="20"/>
      <x:c r="S20" s="20"/>
      <x:c r="T20" s="20"/>
      <x:c r="U20" s="20"/>
      <x:c r="V20" s="20"/>
      <x:c r="W20" s="20"/>
      <x:c r="X20" s="20"/>
      <x:c r="Y20" s="20"/>
      <x:c r="Z20" s="20"/>
    </x:row>
    <x:row r="21">
      <x:c r="A21" s="21" t="n">
        <x:v>44044</x:v>
      </x:c>
      <x:c r="B21" s="28" t="n">
        <x:v>19.99</x:v>
      </x:c>
      <x:c r="C21" s="20" t="str">
        <x:v>Validated retail regime</x:v>
      </x:c>
      <x:c r="D21" s="22" t="n">
        <x:v>211.6</x:v>
      </x:c>
      <x:c r="E21" s="22" t="n">
        <x:v>189.8</x:v>
      </x:c>
      <x:c r="F21" s="22" t="n">
        <x:v>298.4</x:v>
      </x:c>
      <x:c r="G21" s="22" t="n">
        <x:v>216.6</x:v>
      </x:c>
      <x:c r="H21" s="22" t="n">
        <x:v>270</x:v>
      </x:c>
      <x:c r="I21" s="22" t="n">
        <x:v>115.4</x:v>
      </x:c>
      <x:c r="J21" s="22" t="n">
        <x:v>264</x:v>
      </x:c>
      <x:c r="K21" s="33" t="n">
        <x:v>6.927</x:v>
      </x:c>
      <x:c r="L21" s="22" t="n">
        <x:v>288.8</x:v>
      </x:c>
      <x:c r="M21" s="20" t="str">
        <x:v>Macro-series cells reserved for validated monthly observations; source IDs are in Source Register.</x:v>
      </x:c>
      <x:c r="N21" s="64" t="n">
        <x:v>1411</x:v>
      </x:c>
      <x:c r="O21" s="23" t="n">
        <x:v>0.18571428571428572</x:v>
      </x:c>
      <x:c r="P21" s="40" t="n">
        <x:v>100.92004581824611</x:v>
      </x:c>
      <x:c r="Q21" s="20"/>
      <x:c r="R21" s="20"/>
      <x:c r="S21" s="20"/>
      <x:c r="T21" s="20"/>
      <x:c r="U21" s="20"/>
      <x:c r="V21" s="20"/>
      <x:c r="W21" s="20"/>
      <x:c r="X21" s="20"/>
      <x:c r="Y21" s="20"/>
      <x:c r="Z21" s="20"/>
    </x:row>
    <x:row r="22">
      <x:c r="A22" s="21" t="n">
        <x:v>44075</x:v>
      </x:c>
      <x:c r="B22" s="28" t="n">
        <x:v>19.99</x:v>
      </x:c>
      <x:c r="C22" s="20" t="str">
        <x:v>Validated retail regime</x:v>
      </x:c>
      <x:c r="D22" s="22" t="n">
        <x:v>213.5</x:v>
      </x:c>
      <x:c r="E22" s="22" t="n">
        <x:v>190</x:v>
      </x:c>
      <x:c r="F22" s="22" t="n">
        <x:v>302.1</x:v>
      </x:c>
      <x:c r="G22" s="22" t="n">
        <x:v>216.8</x:v>
      </x:c>
      <x:c r="H22" s="22" t="n">
        <x:v>270.4</x:v>
      </x:c>
      <x:c r="I22" s="22" t="n">
        <x:v>116.1</x:v>
      </x:c>
      <x:c r="J22" s="22" t="n">
        <x:v>263.9</x:v>
      </x:c>
      <x:c r="K22" s="33" t="n">
        <x:v>6.8106</x:v>
      </x:c>
      <x:c r="L22" s="22" t="n">
        <x:v>288.2</x:v>
      </x:c>
      <x:c r="M22" s="20" t="str">
        <x:v>Macro-series cells reserved for validated monthly observations; source IDs are in Source Register.</x:v>
      </x:c>
      <x:c r="N22" s="64" t="n">
        <x:v>1474</x:v>
      </x:c>
      <x:c r="O22" s="23" t="n">
        <x:v>0.25446808510638297</x:v>
      </x:c>
      <x:c r="P22" s="40" t="n">
        <x:v>101.12984044335758</x:v>
      </x:c>
      <x:c r="Q22" s="20"/>
      <x:c r="R22" s="20"/>
      <x:c r="S22" s="20"/>
      <x:c r="T22" s="20"/>
      <x:c r="U22" s="20"/>
      <x:c r="V22" s="20"/>
      <x:c r="W22" s="20"/>
      <x:c r="X22" s="20"/>
      <x:c r="Y22" s="20"/>
      <x:c r="Z22" s="20"/>
    </x:row>
    <x:row r="23">
      <x:c r="A23" s="21" t="n">
        <x:v>44105</x:v>
      </x:c>
      <x:c r="B23" s="28" t="n">
        <x:v>19.99</x:v>
      </x:c>
      <x:c r="C23" s="20" t="str">
        <x:v>Validated retail regime</x:v>
      </x:c>
      <x:c r="D23" s="22" t="n">
        <x:v>225.2</x:v>
      </x:c>
      <x:c r="E23" s="22" t="n">
        <x:v>190.1</x:v>
      </x:c>
      <x:c r="F23" s="22" t="n">
        <x:v>301.7</x:v>
      </x:c>
      <x:c r="G23" s="22" t="n">
        <x:v>219.9</x:v>
      </x:c>
      <x:c r="H23" s="22" t="n">
        <x:v>270.5</x:v>
      </x:c>
      <x:c r="I23" s="22" t="n">
        <x:v>115.8</x:v>
      </x:c>
      <x:c r="J23" s="22" t="n">
        <x:v>263.9</x:v>
      </x:c>
      <x:c r="K23" s="33" t="n">
        <x:v>6.7254</x:v>
      </x:c>
      <x:c r="L23" s="22" t="n">
        <x:v>284.3</x:v>
      </x:c>
      <x:c r="M23" s="20" t="str">
        <x:v>Macro-series cells reserved for validated monthly observations; source IDs are in Source Register.</x:v>
      </x:c>
      <x:c r="N23" s="64" t="n">
        <x:v>1552</x:v>
      </x:c>
      <x:c r="O23" s="23" t="n">
        <x:v>0.17664897649734645</x:v>
      </x:c>
      <x:c r="P23" s="40" t="n">
        <x:v>101.4307258568664</x:v>
      </x:c>
      <x:c r="Q23" s="20"/>
      <x:c r="R23" s="20"/>
      <x:c r="S23" s="20"/>
      <x:c r="T23" s="20"/>
      <x:c r="U23" s="20"/>
      <x:c r="V23" s="20"/>
      <x:c r="W23" s="20"/>
      <x:c r="X23" s="20"/>
      <x:c r="Y23" s="20"/>
      <x:c r="Z23" s="20"/>
    </x:row>
    <x:row r="24">
      <x:c r="A24" s="21" t="n">
        <x:v>44136</x:v>
      </x:c>
      <x:c r="B24" s="28" t="n">
        <x:v>19.99</x:v>
      </x:c>
      <x:c r="C24" s="20" t="str">
        <x:v>Validated retail regime</x:v>
      </x:c>
      <x:c r="D24" s="22" t="n">
        <x:v>226.6</x:v>
      </x:c>
      <x:c r="E24" s="22" t="n">
        <x:v>190.1</x:v>
      </x:c>
      <x:c r="F24" s="22" t="n">
        <x:v>300</x:v>
      </x:c>
      <x:c r="G24" s="22" t="n">
        <x:v>220.5</x:v>
      </x:c>
      <x:c r="H24" s="22" t="n">
        <x:v>270.9</x:v>
      </x:c>
      <x:c r="I24" s="22" t="n">
        <x:v>115.8</x:v>
      </x:c>
      <x:c r="J24" s="22" t="n">
        <x:v>264.2</x:v>
      </x:c>
      <x:c r="K24" s="33" t="n">
        <x:v>6.6029</x:v>
      </x:c>
      <x:c r="L24" s="22" t="n">
        <x:v>281.1</x:v>
      </x:c>
      <x:c r="M24" s="20" t="str">
        <x:v>Macro-series cells reserved for validated monthly observations; source IDs are in Source Register.</x:v>
      </x:c>
      <x:c r="N24" s="64" t="n">
        <x:v>2229</x:v>
      </x:c>
      <x:c r="O24" s="23" t="n">
        <x:v>0.15193798449612395</x:v>
      </x:c>
      <x:c r="P24" s="40" t="n">
        <x:v>101.56554007766879</x:v>
      </x:c>
      <x:c r="Q24" s="20"/>
      <x:c r="R24" s="20"/>
      <x:c r="S24" s="20"/>
      <x:c r="T24" s="20"/>
      <x:c r="U24" s="20"/>
      <x:c r="V24" s="20"/>
      <x:c r="W24" s="20"/>
      <x:c r="X24" s="20"/>
      <x:c r="Y24" s="20"/>
      <x:c r="Z24" s="20"/>
    </x:row>
    <x:row r="25">
      <x:c r="A25" s="21" t="n">
        <x:v>44166</x:v>
      </x:c>
      <x:c r="B25" s="28" t="n">
        <x:v>19.99</x:v>
      </x:c>
      <x:c r="C25" s="20" t="str">
        <x:v>Validated retail regime</x:v>
      </x:c>
      <x:c r="D25" s="22" t="n">
        <x:v>231.9</x:v>
      </x:c>
      <x:c r="E25" s="22" t="n">
        <x:v>189.9</x:v>
      </x:c>
      <x:c r="F25" s="22" t="n">
        <x:v>299.9</x:v>
      </x:c>
      <x:c r="G25" s="22" t="n">
        <x:v>220.2</x:v>
      </x:c>
      <x:c r="H25" s="22" t="n">
        <x:v>271</x:v>
      </x:c>
      <x:c r="I25" s="22" t="n">
        <x:v>115.2</x:v>
      </x:c>
      <x:c r="J25" s="22" t="n">
        <x:v>265.9</x:v>
      </x:c>
      <x:c r="K25" s="33" t="n">
        <x:v>6.5393</x:v>
      </x:c>
      <x:c r="L25" s="22" t="n">
        <x:v>284</x:v>
      </x:c>
      <x:c r="M25" s="20" t="str">
        <x:v>Macro-series cells reserved for validated monthly observations; source IDs are in Source Register.</x:v>
      </x:c>
      <x:c r="N25" s="64" t="n">
        <x:v>2399</x:v>
      </x:c>
      <x:c r="O25" s="23" t="n">
        <x:v>0.10859519408502782</x:v>
      </x:c>
      <x:c r="P25" s="40" t="n">
        <x:v>101.56131644413226</x:v>
      </x:c>
      <x:c r="Q25" s="20"/>
      <x:c r="R25" s="20"/>
      <x:c r="S25" s="20"/>
      <x:c r="T25" s="20"/>
      <x:c r="U25" s="20"/>
      <x:c r="V25" s="20"/>
      <x:c r="W25" s="20"/>
      <x:c r="X25" s="20"/>
      <x:c r="Y25" s="20"/>
      <x:c r="Z25" s="20"/>
    </x:row>
    <x:row r="26">
      <x:c r="A26" s="21" t="n">
        <x:v>44197</x:v>
      </x:c>
      <x:c r="B26" s="28" t="n">
        <x:v>19.99</x:v>
      </x:c>
      <x:c r="C26" s="20" t="str">
        <x:v>Validated retail regime</x:v>
      </x:c>
      <x:c r="D26" s="22" t="n">
        <x:v>241.4</x:v>
      </x:c>
      <x:c r="E26" s="22" t="n">
        <x:v>190.3</x:v>
      </x:c>
      <x:c r="F26" s="22" t="n">
        <x:v>299.8</x:v>
      </x:c>
      <x:c r="G26" s="22" t="n">
        <x:v>220.1</x:v>
      </x:c>
      <x:c r="H26" s="22" t="n">
        <x:v>272.1</x:v>
      </x:c>
      <x:c r="I26" s="22" t="n">
        <x:v>114.5</x:v>
      </x:c>
      <x:c r="J26" s="22" t="n">
        <x:v>272.2</x:v>
      </x:c>
      <x:c r="K26" s="33" t="n">
        <x:v>6.4672</x:v>
      </x:c>
      <x:c r="L26" s="22" t="n">
        <x:v>286.3</x:v>
      </x:c>
      <x:c r="M26" s="20" t="str">
        <x:v>Macro-series cells reserved for validated monthly observations; source IDs are in Source Register.</x:v>
      </x:c>
      <x:c r="N26" s="64" t="n">
        <x:v>1468</x:v>
      </x:c>
      <x:c r="O26" s="23" t="n">
        <x:v>0.3237150586113615</x:v>
      </x:c>
      <x:c r="P26" s="40" t="n">
        <x:v>102.07588719677226</x:v>
      </x:c>
      <x:c r="Q26" s="20"/>
      <x:c r="R26" s="20"/>
      <x:c r="S26" s="20"/>
      <x:c r="T26" s="20"/>
      <x:c r="U26" s="20"/>
      <x:c r="V26" s="20"/>
      <x:c r="W26" s="20"/>
      <x:c r="X26" s="20"/>
      <x:c r="Y26" s="20"/>
      <x:c r="Z26" s="20"/>
    </x:row>
    <x:row r="27">
      <x:c r="A27" s="21" t="n">
        <x:v>44228</x:v>
      </x:c>
      <x:c r="B27" s="28" t="n">
        <x:v>19.99</x:v>
      </x:c>
      <x:c r="C27" s="20" t="str">
        <x:v>Validated retail regime</x:v>
      </x:c>
      <x:c r="D27" s="22" t="n">
        <x:v>255.2</x:v>
      </x:c>
      <x:c r="E27" s="22" t="n">
        <x:v>191.2</x:v>
      </x:c>
      <x:c r="F27" s="22" t="n">
        <x:v>303.6</x:v>
      </x:c>
      <x:c r="G27" s="22" t="n">
        <x:v>220.4</x:v>
      </x:c>
      <x:c r="H27" s="22" t="n">
        <x:v>272.7</x:v>
      </x:c>
      <x:c r="I27" s="22" t="n">
        <x:v>115.1</x:v>
      </x:c>
      <x:c r="J27" s="22" t="n">
        <x:v>274.7</x:v>
      </x:c>
      <x:c r="K27" s="33" t="n">
        <x:v>6.4601</x:v>
      </x:c>
      <x:c r="L27" s="22" t="n">
        <x:v>294.3</x:v>
      </x:c>
      <x:c r="M27" s="20" t="str">
        <x:v>Macro-series cells reserved for validated monthly observations; source IDs are in Source Register.</x:v>
      </x:c>
      <x:c r="N27" s="64" t="n">
        <x:v>1272</x:v>
      </x:c>
      <x:c r="O27" s="23" t="n">
        <x:v>0.12169312169312163</x:v>
      </x:c>
      <x:c r="P27" s="40" t="n">
        <x:v>102.53323600154644</x:v>
      </x:c>
      <x:c r="Q27" s="20"/>
      <x:c r="R27" s="20"/>
      <x:c r="S27" s="20"/>
      <x:c r="T27" s="20"/>
      <x:c r="U27" s="20"/>
      <x:c r="V27" s="20"/>
      <x:c r="W27" s="20"/>
      <x:c r="X27" s="20"/>
      <x:c r="Y27" s="20"/>
      <x:c r="Z27" s="20"/>
    </x:row>
    <x:row r="28">
      <x:c r="A28" s="21" t="n">
        <x:v>44256</x:v>
      </x:c>
      <x:c r="B28" s="28" t="n">
        <x:v>19.99</x:v>
      </x:c>
      <x:c r="C28" s="20" t="str">
        <x:v>Validated retail regime</x:v>
      </x:c>
      <x:c r="D28" s="22" t="n">
        <x:v>282.2</x:v>
      </x:c>
      <x:c r="E28" s="22" t="n">
        <x:v>191.6</x:v>
      </x:c>
      <x:c r="F28" s="22" t="n">
        <x:v>308.5</x:v>
      </x:c>
      <x:c r="G28" s="22" t="n">
        <x:v>220.6</x:v>
      </x:c>
      <x:c r="H28" s="22" t="n">
        <x:v>274.1</x:v>
      </x:c>
      <x:c r="I28" s="22" t="n">
        <x:v>117.2</x:v>
      </x:c>
      <x:c r="J28" s="22" t="n">
        <x:v>277.3</x:v>
      </x:c>
      <x:c r="K28" s="33" t="n">
        <x:v>6.5109</x:v>
      </x:c>
      <x:c r="L28" s="22" t="n">
        <x:v>299.9</x:v>
      </x:c>
      <x:c r="M28" s="20" t="str">
        <x:v>Macro-series cells reserved for validated monthly observations; source IDs are in Source Register.</x:v>
      </x:c>
      <x:c r="N28" s="64" t="n">
        <x:v>1734</x:v>
      </x:c>
      <x:c r="O28" s="23" t="n">
        <x:v>1.1276073619631903</x:v>
      </x:c>
      <x:c r="P28" s="40" t="n">
        <x:v>103.40249224541158</x:v>
      </x:c>
      <x:c r="Q28" s="20"/>
      <x:c r="R28" s="20"/>
      <x:c r="S28" s="20"/>
      <x:c r="T28" s="20"/>
      <x:c r="U28" s="20"/>
      <x:c r="V28" s="20"/>
      <x:c r="W28" s="20"/>
      <x:c r="X28" s="20"/>
      <x:c r="Y28" s="20"/>
      <x:c r="Z28" s="20"/>
    </x:row>
    <x:row r="29">
      <x:c r="A29" s="21" t="n">
        <x:v>44287</x:v>
      </x:c>
      <x:c r="B29" s="28" t="n">
        <x:v>19.99</x:v>
      </x:c>
      <x:c r="C29" s="20" t="str">
        <x:v>Validated retail regime</x:v>
      </x:c>
      <x:c r="D29" s="22" t="n">
        <x:v>300.8</x:v>
      </x:c>
      <x:c r="E29" s="22" t="n">
        <x:v>192.1</x:v>
      </x:c>
      <x:c r="F29" s="22" t="n">
        <x:v>308.5</x:v>
      </x:c>
      <x:c r="G29" s="22" t="n">
        <x:v>222.5</x:v>
      </x:c>
      <x:c r="H29" s="22" t="n">
        <x:v>275.1</x:v>
      </x:c>
      <x:c r="I29" s="22" t="n">
        <x:v>116.8</x:v>
      </x:c>
      <x:c r="J29" s="22" t="n">
        <x:v>279.6</x:v>
      </x:c>
      <x:c r="K29" s="33" t="n">
        <x:v>6.5186</x:v>
      </x:c>
      <x:c r="L29" s="22" t="n">
        <x:v>309.5</x:v>
      </x:c>
      <x:c r="M29" s="20" t="str">
        <x:v>Macro-series cells reserved for validated monthly observations; source IDs are in Source Register.</x:v>
      </x:c>
      <x:c r="N29" s="64" t="n">
        <x:v>1540</x:v>
      </x:c>
      <x:c r="O29" s="23" t="n">
        <x:v>3.542772861356932</x:v>
      </x:c>
      <x:c r="P29" s="40" t="n">
        <x:v>103.83840875626422</x:v>
      </x:c>
      <x:c r="Q29" s="20"/>
      <x:c r="R29" s="20"/>
      <x:c r="S29" s="20"/>
      <x:c r="T29" s="20"/>
      <x:c r="U29" s="20"/>
      <x:c r="V29" s="20"/>
      <x:c r="W29" s="20"/>
      <x:c r="X29" s="20"/>
      <x:c r="Y29" s="20"/>
      <x:c r="Z29" s="20"/>
    </x:row>
    <x:row r="30">
      <x:c r="A30" s="21" t="n">
        <x:v>44317</x:v>
      </x:c>
      <x:c r="B30" s="28" t="n">
        <x:v>19.99</x:v>
      </x:c>
      <x:c r="C30" s="20" t="str">
        <x:v>Validated retail regime</x:v>
      </x:c>
      <x:c r="D30" s="22" t="n">
        <x:v>310.4</x:v>
      </x:c>
      <x:c r="E30" s="22" t="n">
        <x:v>194.6</x:v>
      </x:c>
      <x:c r="F30" s="22" t="n">
        <x:v>315.8</x:v>
      </x:c>
      <x:c r="G30" s="22" t="n">
        <x:v>223</x:v>
      </x:c>
      <x:c r="H30" s="22" t="n">
        <x:v>280</x:v>
      </x:c>
      <x:c r="I30" s="22" t="n">
        <x:v>116.7</x:v>
      </x:c>
      <x:c r="J30" s="22" t="n">
        <x:v>283.6</x:v>
      </x:c>
      <x:c r="K30" s="33" t="n">
        <x:v>6.4321</x:v>
      </x:c>
      <x:c r="L30" s="22" t="n">
        <x:v>322.9</x:v>
      </x:c>
      <x:c r="M30" s="20" t="str">
        <x:v>Macro-series cells reserved for validated monthly observations; source IDs are in Source Register.</x:v>
      </x:c>
      <x:c r="N30" s="64" t="n">
        <x:v>1518</x:v>
      </x:c>
      <x:c r="O30" s="23" t="n">
        <x:v>0.43886255924170614</x:v>
      </x:c>
      <x:c r="P30" s="40" t="n">
        <x:v>104.70332272327116</x:v>
      </x:c>
      <x:c r="Q30" s="20"/>
      <x:c r="R30" s="20"/>
      <x:c r="S30" s="20"/>
      <x:c r="T30" s="20"/>
      <x:c r="U30" s="20"/>
      <x:c r="V30" s="20"/>
      <x:c r="W30" s="20"/>
      <x:c r="X30" s="20"/>
      <x:c r="Y30" s="20"/>
      <x:c r="Z30" s="20"/>
    </x:row>
    <x:row r="31">
      <x:c r="A31" s="21" t="n">
        <x:v>44348</x:v>
      </x:c>
      <x:c r="B31" s="28" t="n">
        <x:v>19.99</x:v>
      </x:c>
      <x:c r="C31" s="20" t="str">
        <x:v>Validated retail regime</x:v>
      </x:c>
      <x:c r="D31" s="22" t="n">
        <x:v>323.5</x:v>
      </x:c>
      <x:c r="E31" s="22" t="n">
        <x:v>195.4</x:v>
      </x:c>
      <x:c r="F31" s="22" t="n">
        <x:v>318</x:v>
      </x:c>
      <x:c r="G31" s="22" t="n">
        <x:v>227.4</x:v>
      </x:c>
      <x:c r="H31" s="22" t="n">
        <x:v>281.4</x:v>
      </x:c>
      <x:c r="I31" s="22" t="n">
        <x:v>117</x:v>
      </x:c>
      <x:c r="J31" s="22" t="n">
        <x:v>286.4</x:v>
      </x:c>
      <x:c r="K31" s="33" t="n">
        <x:v>6.425</x:v>
      </x:c>
      <x:c r="L31" s="22" t="n">
        <x:v>336.9</x:v>
      </x:c>
      <x:c r="M31" s="20" t="str">
        <x:v>Macro-series cells reserved for validated monthly observations; source IDs are in Source Register.</x:v>
      </x:c>
      <x:c r="N31" s="64" t="n">
        <x:v>1476</x:v>
      </x:c>
      <x:c r="O31" s="23" t="n">
        <x:v>0.10396409872849666</x:v>
      </x:c>
      <x:c r="P31" s="40" t="n">
        <x:v>105.67093794101066</x:v>
      </x:c>
      <x:c r="Q31" s="20"/>
      <x:c r="R31" s="20"/>
      <x:c r="S31" s="20"/>
      <x:c r="T31" s="20"/>
      <x:c r="U31" s="20"/>
      <x:c r="V31" s="20"/>
      <x:c r="W31" s="20"/>
      <x:c r="X31" s="20"/>
      <x:c r="Y31" s="20"/>
      <x:c r="Z31" s="20"/>
    </x:row>
    <x:row r="32">
      <x:c r="A32" s="21" t="n">
        <x:v>44378</x:v>
      </x:c>
      <x:c r="B32" s="28" t="n">
        <x:v>22.99</x:v>
      </x:c>
      <x:c r="C32" s="20" t="str">
        <x:v>Validated analytical breakpoint; older/newer wave overlap possible</x:v>
      </x:c>
      <x:c r="D32" s="22" t="n">
        <x:v>334.088</x:v>
      </x:c>
      <x:c r="E32" s="22" t="n">
        <x:v>196.039</x:v>
      </x:c>
      <x:c r="F32" s="22" t="n">
        <x:v>324.847</x:v>
      </x:c>
      <x:c r="G32" s="22" t="n">
        <x:v>227.498</x:v>
      </x:c>
      <x:c r="H32" s="22" t="n">
        <x:v>285.637</x:v>
      </x:c>
      <x:c r="I32" s="22" t="n">
        <x:v>117.82</x:v>
      </x:c>
      <x:c r="J32" s="22" t="n">
        <x:v>295.591</x:v>
      </x:c>
      <x:c r="K32" s="33" t="n">
        <x:v>6.4763</x:v>
      </x:c>
      <x:c r="L32" s="22" t="n">
        <x:v>340.299</x:v>
      </x:c>
      <x:c r="M32" s="20" t="str">
        <x:v>Macro-series cells reserved for validated monthly observations; source IDs are in Source Register.</x:v>
      </x:c>
      <x:c r="N32" s="64" t="n">
        <x:v>1533</x:v>
      </x:c>
      <x:c r="O32" s="23" t="n">
        <x:v>0.15960665658093798</x:v>
      </x:c>
      <x:c r="P32" s="40" t="n">
        <x:v>107.11357845180491</x:v>
      </x:c>
      <x:c r="Q32" s="20"/>
      <x:c r="R32" s="20"/>
      <x:c r="S32" s="20"/>
      <x:c r="T32" s="20"/>
      <x:c r="U32" s="20"/>
      <x:c r="V32" s="20"/>
      <x:c r="W32" s="20"/>
      <x:c r="X32" s="20"/>
      <x:c r="Y32" s="20"/>
      <x:c r="Z32" s="20"/>
    </x:row>
    <x:row r="33">
      <x:c r="A33" s="21" t="n">
        <x:v>44409</x:v>
      </x:c>
      <x:c r="B33" s="28" t="n">
        <x:v>22.99</x:v>
      </x:c>
      <x:c r="C33" s="20" t="str">
        <x:v>Validated analytical breakpoint; older/newer wave overlap possible</x:v>
      </x:c>
      <x:c r="D33" s="22" t="n">
        <x:v>340.606</x:v>
      </x:c>
      <x:c r="E33" s="22" t="n">
        <x:v>197.848</x:v>
      </x:c>
      <x:c r="F33" s="22" t="n">
        <x:v>328.56</x:v>
      </x:c>
      <x:c r="G33" s="22" t="n">
        <x:v>232.559</x:v>
      </x:c>
      <x:c r="H33" s="22" t="n">
        <x:v>286.862</x:v>
      </x:c>
      <x:c r="I33" s="22" t="n">
        <x:v>118.912</x:v>
      </x:c>
      <x:c r="J33" s="22" t="n">
        <x:v>297.448</x:v>
      </x:c>
      <x:c r="K33" s="33" t="n">
        <x:v>6.4768</x:v>
      </x:c>
      <x:c r="L33" s="22" t="n">
        <x:v>334.857</x:v>
      </x:c>
      <x:c r="M33" s="20" t="str">
        <x:v>Macro-series cells reserved for validated monthly observations; source IDs are in Source Register.</x:v>
      </x:c>
      <x:c r="N33" s="64" t="n">
        <x:v>1549</x:v>
      </x:c>
      <x:c r="O33" s="23" t="n">
        <x:v>0.09780297661233162</x:v>
      </x:c>
      <x:c r="P33" s="40" t="n">
        <x:v>108.23341412638818</x:v>
      </x:c>
      <x:c r="Q33" s="20"/>
      <x:c r="R33" s="20"/>
      <x:c r="S33" s="20"/>
      <x:c r="T33" s="20"/>
      <x:c r="U33" s="20"/>
      <x:c r="V33" s="20"/>
      <x:c r="W33" s="20"/>
      <x:c r="X33" s="20"/>
      <x:c r="Y33" s="20"/>
      <x:c r="Z33" s="20"/>
    </x:row>
    <x:row r="34">
      <x:c r="A34" s="21" t="n">
        <x:v>44440</x:v>
      </x:c>
      <x:c r="B34" s="28" t="n">
        <x:v>22.99</x:v>
      </x:c>
      <x:c r="C34" s="20" t="str">
        <x:v>Validated analytical breakpoint; older/newer wave overlap possible</x:v>
      </x:c>
      <x:c r="D34" s="22" t="n">
        <x:v>339.206</x:v>
      </x:c>
      <x:c r="E34" s="22" t="n">
        <x:v>198.04</x:v>
      </x:c>
      <x:c r="F34" s="22" t="n">
        <x:v>330.547</x:v>
      </x:c>
      <x:c r="G34" s="22" t="n">
        <x:v>232.592</x:v>
      </x:c>
      <x:c r="H34" s="22" t="n">
        <x:v>292.883</x:v>
      </x:c>
      <x:c r="I34" s="22" t="n">
        <x:v>120.179</x:v>
      </x:c>
      <x:c r="J34" s="22" t="n">
        <x:v>302.642</x:v>
      </x:c>
      <x:c r="K34" s="33" t="n">
        <x:v>6.4563</x:v>
      </x:c>
      <x:c r="L34" s="22" t="n">
        <x:v>346.891</x:v>
      </x:c>
      <x:c r="M34" s="20" t="str">
        <x:v>Macro-series cells reserved for validated monthly observations; source IDs are in Source Register.</x:v>
      </x:c>
      <x:c r="N34" s="64" t="n">
        <x:v>1620</x:v>
      </x:c>
      <x:c r="O34" s="23" t="n">
        <x:v>0.09905020352781557</x:v>
      </x:c>
      <x:c r="P34" s="40" t="n">
        <x:v>109.56870211299089</x:v>
      </x:c>
      <x:c r="Q34" s="20"/>
      <x:c r="R34" s="20"/>
      <x:c r="S34" s="20"/>
      <x:c r="T34" s="20"/>
      <x:c r="U34" s="20"/>
      <x:c r="V34" s="20"/>
      <x:c r="W34" s="20"/>
      <x:c r="X34" s="20"/>
      <x:c r="Y34" s="20"/>
      <x:c r="Z34" s="20"/>
    </x:row>
    <x:row r="35">
      <x:c r="A35" s="21" t="n">
        <x:v>44470</x:v>
      </x:c>
      <x:c r="B35" s="28" t="n">
        <x:v>22.99</x:v>
      </x:c>
      <x:c r="C35" s="20" t="str">
        <x:v>Validated analytical breakpoint; older/newer wave overlap possible</x:v>
      </x:c>
      <x:c r="D35" s="22" t="n">
        <x:v>339.441</x:v>
      </x:c>
      <x:c r="E35" s="22" t="n">
        <x:v>201.348</x:v>
      </x:c>
      <x:c r="F35" s="22" t="n">
        <x:v>334.111</x:v>
      </x:c>
      <x:c r="G35" s="22" t="n">
        <x:v>236.741</x:v>
      </x:c>
      <x:c r="H35" s="22" t="n">
        <x:v>294.762</x:v>
      </x:c>
      <x:c r="I35" s="22" t="n">
        <x:v>123.969</x:v>
      </x:c>
      <x:c r="J35" s="22" t="n">
        <x:v>313.519</x:v>
      </x:c>
      <x:c r="K35" s="33" t="n">
        <x:v>6.4172</x:v>
      </x:c>
      <x:c r="L35" s="22" t="n">
        <x:v>356.86</x:v>
      </x:c>
      <x:c r="M35" s="20" t="str">
        <x:v>Macro-series cells reserved for validated monthly observations; source IDs are in Source Register.</x:v>
      </x:c>
      <x:c r="N35" s="64" t="n">
        <x:v>1723</x:v>
      </x:c>
      <x:c r="O35" s="23" t="n">
        <x:v>0.11018041237113407</x:v>
      </x:c>
      <x:c r="P35" s="40" t="n">
        <x:v>112.08597642450066</x:v>
      </x:c>
      <x:c r="Q35" s="20"/>
      <x:c r="R35" s="20"/>
      <x:c r="S35" s="20"/>
      <x:c r="T35" s="20"/>
      <x:c r="U35" s="20"/>
      <x:c r="V35" s="20"/>
      <x:c r="W35" s="20"/>
      <x:c r="X35" s="20"/>
      <x:c r="Y35" s="20"/>
      <x:c r="Z35" s="20"/>
    </x:row>
    <x:row r="36">
      <x:c r="A36" s="21" t="n">
        <x:v>44501</x:v>
      </x:c>
      <x:c r="B36" s="28" t="n">
        <x:v>22.99</x:v>
      </x:c>
      <x:c r="C36" s="20" t="str">
        <x:v>Validated analytical breakpoint; older/newer wave overlap possible</x:v>
      </x:c>
      <x:c r="D36" s="22" t="n">
        <x:v>335.109</x:v>
      </x:c>
      <x:c r="E36" s="22" t="n">
        <x:v>201.711</x:v>
      </x:c>
      <x:c r="F36" s="22" t="n">
        <x:v>339.184</x:v>
      </x:c>
      <x:c r="G36" s="22" t="n">
        <x:v>238.315</x:v>
      </x:c>
      <x:c r="H36" s="22" t="n">
        <x:v>296.55</x:v>
      </x:c>
      <x:c r="I36" s="22" t="n">
        <x:v>125.878</x:v>
      </x:c>
      <x:c r="J36" s="22" t="n">
        <x:v>314.193</x:v>
      </x:c>
      <x:c r="K36" s="33" t="n">
        <x:v>6.3889</x:v>
      </x:c>
      <x:c r="L36" s="22" t="n">
        <x:v>353.44</x:v>
      </x:c>
      <x:c r="M36" s="20" t="str">
        <x:v>Macro-series cells reserved for validated monthly observations; source IDs are in Source Register.</x:v>
      </x:c>
      <x:c r="N36" s="64" t="n">
        <x:v>2412</x:v>
      </x:c>
      <x:c r="O36" s="23" t="n">
        <x:v>0.08209959623149388</x:v>
      </x:c>
      <x:c r="P36" s="40" t="n">
        <x:v>112.93017816824698</x:v>
      </x:c>
      <x:c r="Q36" s="20"/>
      <x:c r="R36" s="20"/>
      <x:c r="S36" s="20"/>
      <x:c r="T36" s="20"/>
      <x:c r="U36" s="20"/>
      <x:c r="V36" s="20"/>
      <x:c r="W36" s="20"/>
      <x:c r="X36" s="20"/>
      <x:c r="Y36" s="20"/>
      <x:c r="Z36" s="20"/>
    </x:row>
    <x:row r="37">
      <x:c r="A37" s="21" t="n">
        <x:v>44531</x:v>
      </x:c>
      <x:c r="B37" s="28" t="n">
        <x:v>22.99</x:v>
      </x:c>
      <x:c r="C37" s="20" t="str">
        <x:v>Validated analytical breakpoint; older/newer wave overlap possible</x:v>
      </x:c>
      <x:c r="D37" s="22" t="n">
        <x:v>323.642</x:v>
      </x:c>
      <x:c r="E37" s="22" t="n">
        <x:v>202.214</x:v>
      </x:c>
      <x:c r="F37" s="22" t="n">
        <x:v>340.721</x:v>
      </x:c>
      <x:c r="G37" s="22" t="n">
        <x:v>238.528</x:v>
      </x:c>
      <x:c r="H37" s="22" t="n">
        <x:v>302.585</x:v>
      </x:c>
      <x:c r="I37" s="22" t="n">
        <x:v>128.427</x:v>
      </x:c>
      <x:c r="J37" s="22" t="n">
        <x:v>315.179</x:v>
      </x:c>
      <x:c r="K37" s="33" t="n">
        <x:v>6.3693</x:v>
      </x:c>
      <x:c r="L37" s="22" t="n">
        <x:v>365.693</x:v>
      </x:c>
      <x:c r="M37" s="20" t="str">
        <x:v>Macro-series cells reserved for validated monthly observations; source IDs are in Source Register.</x:v>
      </x:c>
      <x:c r="N37" s="64" t="n">
        <x:v>2645</x:v>
      </x:c>
      <x:c r="O37" s="23" t="n">
        <x:v>0.10254272613589</x:v>
      </x:c>
      <x:c r="P37" s="40" t="n">
        <x:v>114.18937905921749</x:v>
      </x:c>
      <x:c r="Q37" s="20"/>
      <x:c r="R37" s="20"/>
      <x:c r="S37" s="20"/>
      <x:c r="T37" s="20"/>
      <x:c r="U37" s="20"/>
      <x:c r="V37" s="20"/>
      <x:c r="W37" s="20"/>
      <x:c r="X37" s="20"/>
      <x:c r="Y37" s="20"/>
      <x:c r="Z37" s="20"/>
    </x:row>
    <x:row r="38">
      <x:c r="A38" s="21" t="n">
        <x:v>44562</x:v>
      </x:c>
      <x:c r="B38" s="28" t="n">
        <x:v>22.99</x:v>
      </x:c>
      <x:c r="C38" s="20" t="str">
        <x:v>Validated analytical breakpoint; older/newer wave overlap possible</x:v>
      </x:c>
      <x:c r="D38" s="22" t="n">
        <x:v>311.899</x:v>
      </x:c>
      <x:c r="E38" s="22" t="n">
        <x:v>205.179</x:v>
      </x:c>
      <x:c r="F38" s="22" t="n">
        <x:v>358.691</x:v>
      </x:c>
      <x:c r="G38" s="22" t="n">
        <x:v>240.985</x:v>
      </x:c>
      <x:c r="H38" s="22" t="n">
        <x:v>311.52</x:v>
      </x:c>
      <x:c r="I38" s="22" t="n">
        <x:v>130.366</x:v>
      </x:c>
      <x:c r="J38" s="22" t="n">
        <x:v>320.021</x:v>
      </x:c>
      <x:c r="K38" s="33" t="n">
        <x:v>6.3556</x:v>
      </x:c>
      <x:c r="L38" s="22" t="n">
        <x:v>367.044</x:v>
      </x:c>
      <x:c r="M38" s="20" t="str">
        <x:v>Macro-series cells reserved for validated monthly observations; source IDs are in Source Register.</x:v>
      </x:c>
      <x:c r="N38" s="64" t="n">
        <x:v>1361</x:v>
      </x:c>
      <x:c r="O38" s="23" t="n">
        <x:v>-0.07288828337874664</x:v>
      </x:c>
      <x:c r="P38" s="40" t="n">
        <x:v>116.19902636989768</x:v>
      </x:c>
      <x:c r="Q38" s="20"/>
      <x:c r="R38" s="20"/>
      <x:c r="S38" s="20"/>
      <x:c r="T38" s="20"/>
      <x:c r="U38" s="20"/>
      <x:c r="V38" s="20"/>
      <x:c r="W38" s="20"/>
      <x:c r="X38" s="20"/>
      <x:c r="Y38" s="20"/>
      <x:c r="Z38" s="20"/>
    </x:row>
    <x:row r="39">
      <x:c r="A39" s="21" t="n">
        <x:v>44593</x:v>
      </x:c>
      <x:c r="B39" s="28" t="n">
        <x:v>22.99</x:v>
      </x:c>
      <x:c r="C39" s="20" t="str">
        <x:v>Validated analytical breakpoint; older/newer wave overlap possible</x:v>
      </x:c>
      <x:c r="D39" s="22" t="n">
        <x:v>312.202</x:v>
      </x:c>
      <x:c r="E39" s="22" t="n">
        <x:v>207.029</x:v>
      </x:c>
      <x:c r="F39" s="22" t="n">
        <x:v>361.809</x:v>
      </x:c>
      <x:c r="G39" s="22" t="n">
        <x:v>241.168</x:v>
      </x:c>
      <x:c r="H39" s="22" t="n">
        <x:v>318.693</x:v>
      </x:c>
      <x:c r="I39" s="22" t="n">
        <x:v>133.767</x:v>
      </x:c>
      <x:c r="J39" s="22" t="n">
        <x:v>324.55</x:v>
      </x:c>
      <x:c r="K39" s="33" t="n">
        <x:v>6.3436</x:v>
      </x:c>
      <x:c r="L39" s="22" t="n">
        <x:v>367.258</x:v>
      </x:c>
      <x:c r="M39" s="20" t="str">
        <x:v>Macro-series cells reserved for validated monthly observations; source IDs are in Source Register.</x:v>
      </x:c>
      <x:c r="N39" s="64" t="n">
        <x:v>1397</x:v>
      </x:c>
      <x:c r="O39" s="23" t="n">
        <x:v>0.09827044025157239</x:v>
      </x:c>
      <x:c r="P39" s="40" t="n">
        <x:v>118.08105567138963</x:v>
      </x:c>
      <x:c r="Q39" s="20"/>
      <x:c r="R39" s="20"/>
      <x:c r="S39" s="20"/>
      <x:c r="T39" s="20"/>
      <x:c r="U39" s="20"/>
      <x:c r="V39" s="20"/>
      <x:c r="W39" s="20"/>
      <x:c r="X39" s="20"/>
      <x:c r="Y39" s="20"/>
      <x:c r="Z39" s="20"/>
    </x:row>
    <x:row r="40">
      <x:c r="A40" s="21" t="n">
        <x:v>44621</x:v>
      </x:c>
      <x:c r="B40" s="28" t="n">
        <x:v>22.99</x:v>
      </x:c>
      <x:c r="C40" s="20" t="str">
        <x:v>Validated analytical breakpoint; older/newer wave overlap possible</x:v>
      </x:c>
      <x:c r="D40" s="22" t="n">
        <x:v>311.697</x:v>
      </x:c>
      <x:c r="E40" s="22" t="n">
        <x:v>210.093</x:v>
      </x:c>
      <x:c r="F40" s="22" t="n">
        <x:v>364.862</x:v>
      </x:c>
      <x:c r="G40" s="22" t="n">
        <x:v>244.09</x:v>
      </x:c>
      <x:c r="H40" s="22" t="n">
        <x:v>321.152</x:v>
      </x:c>
      <x:c r="I40" s="22" t="n">
        <x:v>134.645</x:v>
      </x:c>
      <x:c r="J40" s="22" t="n">
        <x:v>325.27</x:v>
      </x:c>
      <x:c r="K40" s="33" t="n">
        <x:v>6.3446</x:v>
      </x:c>
      <x:c r="L40" s="22" t="n">
        <x:v>356.471</x:v>
      </x:c>
      <x:c r="M40" s="20" t="str">
        <x:v>Macro-series cells reserved for validated monthly observations; source IDs are in Source Register.</x:v>
      </x:c>
      <x:c r="N40" s="64" t="n">
        <x:v>1562</x:v>
      </x:c>
      <x:c r="O40" s="23" t="n">
        <x:v>-0.09919261822376013</x:v>
      </x:c>
      <x:c r="P40" s="40" t="n">
        <x:v>118.91577551520433</x:v>
      </x:c>
      <x:c r="Q40" s="20"/>
      <x:c r="R40" s="20"/>
      <x:c r="S40" s="20"/>
      <x:c r="T40" s="20"/>
      <x:c r="U40" s="20"/>
      <x:c r="V40" s="20"/>
      <x:c r="W40" s="20"/>
      <x:c r="X40" s="20"/>
      <x:c r="Y40" s="20"/>
      <x:c r="Z40" s="20"/>
    </x:row>
    <x:row r="41">
      <x:c r="A41" s="21" t="n">
        <x:v>44652</x:v>
      </x:c>
      <x:c r="B41" s="28" t="n">
        <x:v>24.99</x:v>
      </x:c>
      <x:c r="C41" s="20" t="str">
        <x:v>Validated analytical breakpoint</x:v>
      </x:c>
      <x:c r="D41" s="22" t="n">
        <x:v>325.584</x:v>
      </x:c>
      <x:c r="E41" s="22" t="n">
        <x:v>210.702</x:v>
      </x:c>
      <x:c r="F41" s="22" t="n">
        <x:v>382.033</x:v>
      </x:c>
      <x:c r="G41" s="22" t="n">
        <x:v>246.35</x:v>
      </x:c>
      <x:c r="H41" s="22" t="n">
        <x:v>329.5</x:v>
      </x:c>
      <x:c r="I41" s="22" t="n">
        <x:v>137.123</x:v>
      </x:c>
      <x:c r="J41" s="22" t="n">
        <x:v>335.454</x:v>
      </x:c>
      <x:c r="K41" s="33" t="n">
        <x:v>6.431</x:v>
      </x:c>
      <x:c r="L41" s="22" t="n">
        <x:v>386.914</x:v>
      </x:c>
      <x:c r="M41" s="20" t="str">
        <x:v>Macro-series cells reserved for validated monthly observations; source IDs are in Source Register.</x:v>
      </x:c>
      <x:c r="N41" s="64" t="n">
        <x:v>1572</x:v>
      </x:c>
      <x:c r="O41" s="23" t="n">
        <x:v>0.020779220779220786</x:v>
      </x:c>
      <x:c r="P41" s="40" t="n">
        <x:v>121.46185835844571</x:v>
      </x:c>
      <x:c r="Q41" s="20"/>
      <x:c r="R41" s="20"/>
      <x:c r="S41" s="20"/>
      <x:c r="T41" s="20"/>
      <x:c r="U41" s="20"/>
      <x:c r="V41" s="20"/>
      <x:c r="W41" s="20"/>
      <x:c r="X41" s="20"/>
      <x:c r="Y41" s="20"/>
      <x:c r="Z41" s="20"/>
    </x:row>
    <x:row r="42">
      <x:c r="A42" s="21" t="n">
        <x:v>44682</x:v>
      </x:c>
      <x:c r="B42" s="28" t="n">
        <x:v>24.99</x:v>
      </x:c>
      <x:c r="C42" s="20" t="str">
        <x:v>Validated analytical breakpoint</x:v>
      </x:c>
      <x:c r="D42" s="22" t="n">
        <x:v>330.423</x:v>
      </x:c>
      <x:c r="E42" s="22" t="n">
        <x:v>212.315</x:v>
      </x:c>
      <x:c r="F42" s="22" t="n">
        <x:v>385.636</x:v>
      </x:c>
      <x:c r="G42" s="22" t="n">
        <x:v>255.133</x:v>
      </x:c>
      <x:c r="H42" s="22" t="n">
        <x:v>331.406</x:v>
      </x:c>
      <x:c r="I42" s="22" t="n">
        <x:v>140.886</x:v>
      </x:c>
      <x:c r="J42" s="22" t="n">
        <x:v>342.977</x:v>
      </x:c>
      <x:c r="K42" s="33" t="n">
        <x:v>6.699</x:v>
      </x:c>
      <x:c r="L42" s="22" t="n">
        <x:v>437.537</x:v>
      </x:c>
      <x:c r="M42" s="20" t="str">
        <x:v>Macro-series cells reserved for validated monthly observations; source IDs are in Source Register.</x:v>
      </x:c>
      <x:c r="N42" s="64" t="n">
        <x:v>1544</x:v>
      </x:c>
      <x:c r="O42" s="23" t="n">
        <x:v>0.017127799736495364</x:v>
      </x:c>
      <x:c r="P42" s="40" t="n">
        <x:v>124.20336123012258</x:v>
      </x:c>
      <x:c r="Q42" s="20"/>
      <x:c r="R42" s="20"/>
      <x:c r="S42" s="20"/>
      <x:c r="T42" s="20"/>
      <x:c r="U42" s="20"/>
      <x:c r="V42" s="20"/>
      <x:c r="W42" s="20"/>
      <x:c r="X42" s="20"/>
      <x:c r="Y42" s="20"/>
      <x:c r="Z42" s="20"/>
    </x:row>
    <x:row r="43">
      <x:c r="A43" s="21" t="n">
        <x:v>44713</x:v>
      </x:c>
      <x:c r="B43" s="28" t="n">
        <x:v>24.99</x:v>
      </x:c>
      <x:c r="C43" s="20" t="str">
        <x:v>Validated analytical breakpoint</x:v>
      </x:c>
      <x:c r="D43" s="22" t="n">
        <x:v>334.29</x:v>
      </x:c>
      <x:c r="E43" s="22" t="n">
        <x:v>212.717</x:v>
      </x:c>
      <x:c r="F43" s="22" t="n">
        <x:v>390.694</x:v>
      </x:c>
      <x:c r="G43" s="22" t="n">
        <x:v>253.406</x:v>
      </x:c>
      <x:c r="H43" s="22" t="n">
        <x:v>341.743</x:v>
      </x:c>
      <x:c r="I43" s="22" t="n">
        <x:v>141.863</x:v>
      </x:c>
      <x:c r="J43" s="22" t="n">
        <x:v>343.66</x:v>
      </x:c>
      <x:c r="K43" s="33" t="n">
        <x:v>6.6952</x:v>
      </x:c>
      <x:c r="L43" s="22" t="n">
        <x:v>429.9</x:v>
      </x:c>
      <x:c r="M43" s="20" t="str">
        <x:v>Macro-series cells reserved for validated monthly observations; source IDs are in Source Register.</x:v>
      </x:c>
      <x:c r="N43" s="64" t="n">
        <x:v>1399</x:v>
      </x:c>
      <x:c r="O43" s="23" t="n">
        <x:v>-0.052168021680216836</x:v>
      </x:c>
      <x:c r="P43" s="40" t="n">
        <x:v>125.25891190220048</x:v>
      </x:c>
      <x:c r="Q43" s="20"/>
      <x:c r="R43" s="20"/>
      <x:c r="S43" s="20"/>
      <x:c r="T43" s="20"/>
      <x:c r="U43" s="20"/>
      <x:c r="V43" s="20"/>
      <x:c r="W43" s="20"/>
      <x:c r="X43" s="20"/>
      <x:c r="Y43" s="20"/>
      <x:c r="Z43" s="20"/>
    </x:row>
    <x:row r="44">
      <x:c r="A44" s="21" t="n">
        <x:v>44743</x:v>
      </x:c>
      <x:c r="B44" s="28" t="n">
        <x:v>24.99</x:v>
      </x:c>
      <x:c r="C44" s="20" t="str">
        <x:v>Validated analytical breakpoint</x:v>
      </x:c>
      <x:c r="D44" s="22" t="n">
        <x:v>326.056</x:v>
      </x:c>
      <x:c r="E44" s="22" t="n">
        <x:v>213.578</x:v>
      </x:c>
      <x:c r="F44" s="22" t="n">
        <x:v>397.234</x:v>
      </x:c>
      <x:c r="G44" s="22" t="n">
        <x:v>253.604</x:v>
      </x:c>
      <x:c r="H44" s="22" t="n">
        <x:v>343.968</x:v>
      </x:c>
      <x:c r="I44" s="22" t="n">
        <x:v>143.405</x:v>
      </x:c>
      <x:c r="J44" s="22" t="n">
        <x:v>344.348</x:v>
      </x:c>
      <x:c r="K44" s="33" t="n">
        <x:v>6.7352</x:v>
      </x:c>
      <x:c r="L44" s="22" t="n">
        <x:v>444.804</x:v>
      </x:c>
      <x:c r="M44" s="20" t="str">
        <x:v>Macro-series cells reserved for validated monthly observations; source IDs are in Source Register.</x:v>
      </x:c>
      <x:c r="N44" s="64" t="n">
        <x:v>1532</x:v>
      </x:c>
      <x:c r="O44" s="23" t="n">
        <x:v>-0.000652315720808927</x:v>
      </x:c>
      <x:c r="P44" s="40" t="n">
        <x:v>125.90305419655276</x:v>
      </x:c>
      <x:c r="Q44" s="20"/>
      <x:c r="R44" s="20"/>
      <x:c r="S44" s="20"/>
      <x:c r="T44" s="20"/>
      <x:c r="U44" s="20"/>
      <x:c r="V44" s="20"/>
      <x:c r="W44" s="20"/>
      <x:c r="X44" s="20"/>
      <x:c r="Y44" s="20"/>
      <x:c r="Z44" s="20"/>
    </x:row>
    <x:row r="45">
      <x:c r="A45" s="21" t="n">
        <x:v>44774</x:v>
      </x:c>
      <x:c r="B45" s="28" t="n">
        <x:v>24.99</x:v>
      </x:c>
      <x:c r="C45" s="20" t="str">
        <x:v>Validated analytical breakpoint</x:v>
      </x:c>
      <x:c r="D45" s="22" t="n">
        <x:v>314.594</x:v>
      </x:c>
      <x:c r="E45" s="22" t="n">
        <x:v>214.353</x:v>
      </x:c>
      <x:c r="F45" s="22" t="n">
        <x:v>401.388</x:v>
      </x:c>
      <x:c r="G45" s="22" t="n">
        <x:v>259.592</x:v>
      </x:c>
      <x:c r="H45" s="22" t="n">
        <x:v>350.149</x:v>
      </x:c>
      <x:c r="I45" s="22" t="n">
        <x:v>150.01</x:v>
      </x:c>
      <x:c r="J45" s="22" t="n">
        <x:v>348.36</x:v>
      </x:c>
      <x:c r="K45" s="33" t="n">
        <x:v>6.8007</x:v>
      </x:c>
      <x:c r="L45" s="22" t="n">
        <x:v>458.815</x:v>
      </x:c>
      <x:c r="M45" s="20" t="str">
        <x:v>Macro-series cells reserved for validated monthly observations; source IDs are in Source Register.</x:v>
      </x:c>
      <x:c r="N45" s="64" t="n">
        <x:v>1647</x:v>
      </x:c>
      <x:c r="O45" s="23" t="n">
        <x:v>0.06326662362814717</x:v>
      </x:c>
      <x:c r="P45" s="40" t="n">
        <x:v>129.04118014017516</x:v>
      </x:c>
      <x:c r="Q45" s="20"/>
      <x:c r="R45" s="20"/>
      <x:c r="S45" s="20"/>
      <x:c r="T45" s="20"/>
      <x:c r="U45" s="20"/>
      <x:c r="V45" s="20"/>
      <x:c r="W45" s="20"/>
      <x:c r="X45" s="20"/>
      <x:c r="Y45" s="20"/>
      <x:c r="Z45" s="20"/>
    </x:row>
    <x:row r="46">
      <x:c r="A46" s="21" t="n">
        <x:v>44805</x:v>
      </x:c>
      <x:c r="B46" s="28" t="n">
        <x:v>24.99</x:v>
      </x:c>
      <x:c r="C46" s="20" t="str">
        <x:v>Validated analytical breakpoint</x:v>
      </x:c>
      <x:c r="D46" s="22" t="n">
        <x:v>310.588</x:v>
      </x:c>
      <x:c r="E46" s="22" t="n">
        <x:v>215.195</x:v>
      </x:c>
      <x:c r="F46" s="22" t="n">
        <x:v>405.65</x:v>
      </x:c>
      <x:c r="G46" s="22" t="n">
        <x:v>258.294</x:v>
      </x:c>
      <x:c r="H46" s="22" t="n">
        <x:v>352.638</x:v>
      </x:c>
      <x:c r="I46" s="22" t="n">
        <x:v>150.824</x:v>
      </x:c>
      <x:c r="J46" s="22" t="n">
        <x:v>348.572</x:v>
      </x:c>
      <x:c r="K46" s="33" t="n">
        <x:v>7.0195</x:v>
      </x:c>
      <x:c r="L46" s="22" t="n">
        <x:v>468.156</x:v>
      </x:c>
      <x:c r="M46" s="20" t="str">
        <x:v>Macro-series cells reserved for validated monthly observations; source IDs are in Source Register.</x:v>
      </x:c>
      <x:c r="N46" s="64" t="n">
        <x:v>1699</x:v>
      </x:c>
      <x:c r="O46" s="23" t="n">
        <x:v>0.04876543209876538</x:v>
      </x:c>
      <x:c r="P46" s="40" t="n">
        <x:v>129.3283026261512</x:v>
      </x:c>
      <x:c r="Q46" s="20"/>
      <x:c r="R46" s="20"/>
      <x:c r="S46" s="20"/>
      <x:c r="T46" s="20"/>
      <x:c r="U46" s="20"/>
      <x:c r="V46" s="20"/>
      <x:c r="W46" s="20"/>
      <x:c r="X46" s="20"/>
      <x:c r="Y46" s="20"/>
      <x:c r="Z46" s="20"/>
    </x:row>
    <x:row r="47">
      <x:c r="A47" s="21" t="n">
        <x:v>44835</x:v>
      </x:c>
      <x:c r="B47" s="28" t="n">
        <x:v>24.99</x:v>
      </x:c>
      <x:c r="C47" s="20" t="str">
        <x:v>Validated analytical breakpoint</x:v>
      </x:c>
      <x:c r="D47" s="22" t="n">
        <x:v>302.487</x:v>
      </x:c>
      <x:c r="E47" s="22" t="n">
        <x:v>215.772</x:v>
      </x:c>
      <x:c r="F47" s="22" t="n">
        <x:v>405.153</x:v>
      </x:c>
      <x:c r="G47" s="22" t="n">
        <x:v>258.409</x:v>
      </x:c>
      <x:c r="H47" s="22" t="n">
        <x:v>353.465</x:v>
      </x:c>
      <x:c r="I47" s="22" t="n">
        <x:v>152.238</x:v>
      </x:c>
      <x:c r="J47" s="22" t="n">
        <x:v>348.558</x:v>
      </x:c>
      <x:c r="K47" s="33" t="n">
        <x:v>7.1902</x:v>
      </x:c>
      <x:c r="L47" s="22" t="n">
        <x:v>468.11</x:v>
      </x:c>
      <x:c r="M47" s="20" t="str">
        <x:v>Macro-series cells reserved for validated monthly observations; source IDs are in Source Register.</x:v>
      </x:c>
      <x:c r="N47" s="64" t="n">
        <x:v>1771</x:v>
      </x:c>
      <x:c r="O47" s="23" t="n">
        <x:v>0.02785838653511319</x:v>
      </x:c>
      <x:c r="P47" s="40" t="n">
        <x:v>129.73771533509833</x:v>
      </x:c>
      <x:c r="Q47" s="20"/>
      <x:c r="R47" s="20"/>
      <x:c r="S47" s="20"/>
      <x:c r="T47" s="20"/>
      <x:c r="U47" s="20"/>
      <x:c r="V47" s="20"/>
      <x:c r="W47" s="20"/>
      <x:c r="X47" s="20"/>
      <x:c r="Y47" s="20"/>
      <x:c r="Z47" s="20"/>
    </x:row>
    <x:row r="48">
      <x:c r="A48" s="21" t="n">
        <x:v>44866</x:v>
      </x:c>
      <x:c r="B48" s="28" t="n">
        <x:v>24.99</x:v>
      </x:c>
      <x:c r="C48" s="20" t="str">
        <x:v>Validated analytical breakpoint</x:v>
      </x:c>
      <x:c r="D48" s="22" t="n">
        <x:v>283.16</x:v>
      </x:c>
      <x:c r="E48" s="22" t="n">
        <x:v>215.979</x:v>
      </x:c>
      <x:c r="F48" s="22" t="n">
        <x:v>404.595</x:v>
      </x:c>
      <x:c r="G48" s="22" t="n">
        <x:v>259.751</x:v>
      </x:c>
      <x:c r="H48" s="22" t="n">
        <x:v>352.939</x:v>
      </x:c>
      <x:c r="I48" s="22" t="n">
        <x:v>155.165</x:v>
      </x:c>
      <x:c r="J48" s="22" t="n">
        <x:v>348.263</x:v>
      </x:c>
      <x:c r="K48" s="33" t="n">
        <x:v>7.1812</x:v>
      </x:c>
      <x:c r="L48" s="22" t="n">
        <x:v>461.904</x:v>
      </x:c>
      <x:c r="M48" s="20" t="str">
        <x:v>Macro-series cells reserved for validated monthly observations; source IDs are in Source Register.</x:v>
      </x:c>
      <x:c r="N48" s="64" t="n">
        <x:v>2610</x:v>
      </x:c>
      <x:c r="O48" s="23" t="n">
        <x:v>0.08208955223880587</x:v>
      </x:c>
      <x:c r="P48" s="40" t="n">
        <x:v>130.47821521595694</x:v>
      </x:c>
      <x:c r="Q48" s="20"/>
      <x:c r="R48" s="20"/>
      <x:c r="S48" s="20"/>
      <x:c r="T48" s="20"/>
      <x:c r="U48" s="20"/>
      <x:c r="V48" s="20"/>
      <x:c r="W48" s="20"/>
      <x:c r="X48" s="20"/>
      <x:c r="Y48" s="20"/>
      <x:c r="Z48" s="20"/>
    </x:row>
    <x:row r="49">
      <x:c r="A49" s="21" t="n">
        <x:v>44896</x:v>
      </x:c>
      <x:c r="B49" s="28" t="n">
        <x:v>24.99</x:v>
      </x:c>
      <x:c r="C49" s="20" t="str">
        <x:v>Validated analytical breakpoint</x:v>
      </x:c>
      <x:c r="D49" s="22" t="n">
        <x:v>279.195</x:v>
      </x:c>
      <x:c r="E49" s="22" t="n">
        <x:v>216.402</x:v>
      </x:c>
      <x:c r="F49" s="22" t="n">
        <x:v>405.946</x:v>
      </x:c>
      <x:c r="G49" s="22" t="n">
        <x:v>260.216</x:v>
      </x:c>
      <x:c r="H49" s="22" t="n">
        <x:v>353.91</x:v>
      </x:c>
      <x:c r="I49" s="22" t="n">
        <x:v>156.042</x:v>
      </x:c>
      <x:c r="J49" s="22" t="n">
        <x:v>347.353</x:v>
      </x:c>
      <x:c r="K49" s="33" t="n">
        <x:v>6.9717</x:v>
      </x:c>
      <x:c r="L49" s="22" t="n">
        <x:v>459.372</x:v>
      </x:c>
      <x:c r="M49" s="20" t="str">
        <x:v>Macro-series cells reserved for validated monthly observations; source IDs are in Source Register.</x:v>
      </x:c>
      <x:c r="N49" s="64" t="n">
        <x:v>2817</x:v>
      </x:c>
      <x:c r="O49" s="23" t="n">
        <x:v>0.06502835538752372</x:v>
      </x:c>
      <x:c r="P49" s="40" t="n">
        <x:v>130.7377227490657</x:v>
      </x:c>
      <x:c r="Q49" s="20"/>
      <x:c r="R49" s="20"/>
      <x:c r="S49" s="20"/>
      <x:c r="T49" s="20"/>
      <x:c r="U49" s="20"/>
      <x:c r="V49" s="20"/>
      <x:c r="W49" s="20"/>
      <x:c r="X49" s="20"/>
      <x:c r="Y49" s="20"/>
      <x:c r="Z49" s="20"/>
    </x:row>
    <x:row r="50">
      <x:c r="A50" s="21" t="n">
        <x:v>44927</x:v>
      </x:c>
      <x:c r="B50" s="28" t="n">
        <x:v>24.99</x:v>
      </x:c>
      <x:c r="C50" s="20" t="str">
        <x:v>Validated analytical breakpoint</x:v>
      </x:c>
      <x:c r="D50" s="22" t="n">
        <x:v>273.812</x:v>
      </x:c>
      <x:c r="E50" s="22" t="n">
        <x:v>216.915</x:v>
      </x:c>
      <x:c r="F50" s="22" t="n">
        <x:v>404.811</x:v>
      </x:c>
      <x:c r="G50" s="22" t="n">
        <x:v>263.984</x:v>
      </x:c>
      <x:c r="H50" s="22" t="n">
        <x:v>354.669</x:v>
      </x:c>
      <x:c r="I50" s="22" t="n">
        <x:v>156.156</x:v>
      </x:c>
      <x:c r="J50" s="22" t="n">
        <x:v>346.705</x:v>
      </x:c>
      <x:c r="K50" s="33" t="n">
        <x:v>6.7904</x:v>
      </x:c>
      <x:c r="L50" s="22" t="n">
        <x:v>433.237</x:v>
      </x:c>
      <x:c r="M50" s="20" t="str">
        <x:v>Macro-series cells reserved for validated monthly observations; source IDs are in Source Register.</x:v>
      </x:c>
      <x:c r="N50" s="64" t="n">
        <x:v>1466</x:v>
      </x:c>
      <x:c r="O50" s="23" t="n">
        <x:v>0.07714915503306385</x:v>
      </x:c>
      <x:c r="P50" s="40" t="n">
        <x:v>131.21181381441525</x:v>
      </x:c>
      <x:c r="Q50" s="20"/>
      <x:c r="R50" s="20"/>
      <x:c r="S50" s="20"/>
      <x:c r="T50" s="20"/>
      <x:c r="U50" s="20"/>
      <x:c r="V50" s="20"/>
      <x:c r="W50" s="20"/>
      <x:c r="X50" s="20"/>
      <x:c r="Y50" s="20"/>
      <x:c r="Z50" s="20"/>
    </x:row>
    <x:row r="51">
      <x:c r="A51" s="21" t="n">
        <x:v>44958</x:v>
      </x:c>
      <x:c r="B51" s="28" t="n">
        <x:v>24.99</x:v>
      </x:c>
      <x:c r="C51" s="20" t="str">
        <x:v>Validated analytical breakpoint</x:v>
      </x:c>
      <x:c r="D51" s="22" t="n">
        <x:v>281.478</x:v>
      </x:c>
      <x:c r="E51" s="22" t="n">
        <x:v>217.474</x:v>
      </x:c>
      <x:c r="F51" s="22" t="n">
        <x:v>403.477</x:v>
      </x:c>
      <x:c r="G51" s="22" t="n">
        <x:v>264.711</x:v>
      </x:c>
      <x:c r="H51" s="22" t="n">
        <x:v>357.579</x:v>
      </x:c>
      <x:c r="I51" s="22" t="n">
        <x:v>156.628</x:v>
      </x:c>
      <x:c r="J51" s="22" t="n">
        <x:v>344.61</x:v>
      </x:c>
      <x:c r="K51" s="33" t="n">
        <x:v>6.838</x:v>
      </x:c>
      <x:c r="L51" s="22" t="n">
        <x:v>446.935</x:v>
      </x:c>
      <x:c r="M51" s="20" t="str">
        <x:v>Macro-series cells reserved for validated monthly observations; source IDs are in Source Register.</x:v>
      </x:c>
      <x:c r="N51" s="64" t="n">
        <x:v>1394</x:v>
      </x:c>
      <x:c r="O51" s="23" t="n">
        <x:v>-0.0021474588403722628</x:v>
      </x:c>
      <x:c r="P51" s="40" t="n">
        <x:v>131.48316984324043</x:v>
      </x:c>
      <x:c r="Q51" s="20"/>
      <x:c r="R51" s="20"/>
      <x:c r="S51" s="20"/>
      <x:c r="T51" s="20"/>
      <x:c r="U51" s="20"/>
      <x:c r="V51" s="20"/>
      <x:c r="W51" s="20"/>
      <x:c r="X51" s="20"/>
      <x:c r="Y51" s="20"/>
      <x:c r="Z51" s="20"/>
    </x:row>
    <x:row r="52">
      <x:c r="A52" s="21" t="n">
        <x:v>44986</x:v>
      </x:c>
      <x:c r="B52" s="28" t="n">
        <x:v>24.99</x:v>
      </x:c>
      <x:c r="C52" s="20" t="str">
        <x:v>Validated analytical breakpoint</x:v>
      </x:c>
      <x:c r="D52" s="22" t="n">
        <x:v>284.307</x:v>
      </x:c>
      <x:c r="E52" s="22" t="n">
        <x:v>218.123</x:v>
      </x:c>
      <x:c r="F52" s="22" t="n">
        <x:v>405.293</x:v>
      </x:c>
      <x:c r="G52" s="22" t="n">
        <x:v>264.732</x:v>
      </x:c>
      <x:c r="H52" s="22" t="n">
        <x:v>358.74</x:v>
      </x:c>
      <x:c r="I52" s="22" t="n">
        <x:v>157.094</x:v>
      </x:c>
      <x:c r="J52" s="22" t="n">
        <x:v>340.265</x:v>
      </x:c>
      <x:c r="K52" s="33" t="n">
        <x:v>6.8909</x:v>
      </x:c>
      <x:c r="L52" s="22" t="n">
        <x:v>403.374</x:v>
      </x:c>
      <x:c r="M52" s="20" t="str">
        <x:v>Macro-series cells reserved for validated monthly observations; source IDs are in Source Register.</x:v>
      </x:c>
      <x:c r="N52" s="64" t="n">
        <x:v>1557</x:v>
      </x:c>
      <x:c r="O52" s="23" t="n">
        <x:v>-0.003201024327784907</x:v>
      </x:c>
      <x:c r="P52" s="40" t="n">
        <x:v>131.29941349116177</x:v>
      </x:c>
      <x:c r="Q52" s="20"/>
      <x:c r="R52" s="20"/>
      <x:c r="S52" s="20"/>
      <x:c r="T52" s="20"/>
      <x:c r="U52" s="20"/>
      <x:c r="V52" s="20"/>
      <x:c r="W52" s="20"/>
      <x:c r="X52" s="20"/>
      <x:c r="Y52" s="20"/>
      <x:c r="Z52" s="20"/>
    </x:row>
    <x:row r="53">
      <x:c r="A53" s="21" t="n">
        <x:v>45017</x:v>
      </x:c>
      <x:c r="B53" s="28" t="n">
        <x:v>24.99</x:v>
      </x:c>
      <x:c r="C53" s="20" t="str">
        <x:v>Validated analytical breakpoint</x:v>
      </x:c>
      <x:c r="D53" s="22" t="n">
        <x:v>289.322</x:v>
      </x:c>
      <x:c r="E53" s="22" t="n">
        <x:v>219.024</x:v>
      </x:c>
      <x:c r="F53" s="22" t="n">
        <x:v>405.789</x:v>
      </x:c>
      <x:c r="G53" s="22" t="n">
        <x:v>266.216</x:v>
      </x:c>
      <x:c r="H53" s="22" t="n">
        <x:v>360.931</x:v>
      </x:c>
      <x:c r="I53" s="22" t="n">
        <x:v>158.859</x:v>
      </x:c>
      <x:c r="J53" s="22" t="n">
        <x:v>335.973</x:v>
      </x:c>
      <x:c r="K53" s="33" t="n">
        <x:v>6.8876</x:v>
      </x:c>
      <x:c r="L53" s="22" t="n">
        <x:v>400.943</x:v>
      </x:c>
      <x:c r="M53" s="20" t="str">
        <x:v>Macro-series cells reserved for validated monthly observations; source IDs are in Source Register.</x:v>
      </x:c>
      <x:c r="N53" s="64" t="n">
        <x:v>1401</x:v>
      </x:c>
      <x:c r="O53" s="23" t="n">
        <x:v>-0.10877862595419852</x:v>
      </x:c>
      <x:c r="P53" s="40" t="n">
        <x:v>131.68057543978014</x:v>
      </x:c>
      <x:c r="Q53" s="20"/>
      <x:c r="R53" s="20"/>
      <x:c r="S53" s="20"/>
      <x:c r="T53" s="20"/>
      <x:c r="U53" s="20"/>
      <x:c r="V53" s="20"/>
      <x:c r="W53" s="20"/>
      <x:c r="X53" s="20"/>
      <x:c r="Y53" s="20"/>
      <x:c r="Z53" s="20"/>
    </x:row>
    <x:row r="54">
      <x:c r="A54" s="21" t="n">
        <x:v>45047</x:v>
      </x:c>
      <x:c r="B54" s="28" t="n">
        <x:v>24.99</x:v>
      </x:c>
      <x:c r="C54" s="20" t="str">
        <x:v>Validated analytical breakpoint</x:v>
      </x:c>
      <x:c r="D54" s="22" t="n">
        <x:v>287.985</x:v>
      </x:c>
      <x:c r="E54" s="22" t="n">
        <x:v>219.477</x:v>
      </x:c>
      <x:c r="F54" s="22" t="n">
        <x:v>407.705</x:v>
      </x:c>
      <x:c r="G54" s="22" t="n">
        <x:v>266.147</x:v>
      </x:c>
      <x:c r="H54" s="22" t="n">
        <x:v>361.34</x:v>
      </x:c>
      <x:c r="I54" s="22" t="n">
        <x:v>161.816</x:v>
      </x:c>
      <x:c r="J54" s="22" t="n">
        <x:v>335.659</x:v>
      </x:c>
      <x:c r="K54" s="33" t="n">
        <x:v>6.9854</x:v>
      </x:c>
      <x:c r="L54" s="22" t="n">
        <x:v>434.42</x:v>
      </x:c>
      <x:c r="M54" s="20" t="str">
        <x:v>Macro-series cells reserved for validated monthly observations; source IDs are in Source Register.</x:v>
      </x:c>
      <x:c r="N54" s="64" t="n">
        <x:v>1461</x:v>
      </x:c>
      <x:c r="O54" s="23" t="n">
        <x:v>-0.05375647668393779</x:v>
      </x:c>
      <x:c r="P54" s="40" t="n">
        <x:v>132.35047606112937</x:v>
      </x:c>
      <x:c r="Q54" s="20"/>
      <x:c r="R54" s="20"/>
      <x:c r="S54" s="20"/>
      <x:c r="T54" s="20"/>
      <x:c r="U54" s="20"/>
      <x:c r="V54" s="20"/>
      <x:c r="W54" s="20"/>
      <x:c r="X54" s="20"/>
      <x:c r="Y54" s="20"/>
      <x:c r="Z54" s="20"/>
    </x:row>
    <x:row r="55">
      <x:c r="A55" s="21" t="n">
        <x:v>45078</x:v>
      </x:c>
      <x:c r="B55" s="28" t="n">
        <x:v>24.99</x:v>
      </x:c>
      <x:c r="C55" s="20" t="str">
        <x:v>Validated analytical breakpoint</x:v>
      </x:c>
      <x:c r="D55" s="22" t="n">
        <x:v>282.107</x:v>
      </x:c>
      <x:c r="E55" s="22" t="n">
        <x:v>222.028</x:v>
      </x:c>
      <x:c r="F55" s="22" t="n">
        <x:v>406.91</x:v>
      </x:c>
      <x:c r="G55" s="22" t="n">
        <x:v>266.18</x:v>
      </x:c>
      <x:c r="H55" s="22" t="n">
        <x:v>360.604</x:v>
      </x:c>
      <x:c r="I55" s="22" t="n">
        <x:v>161.839</x:v>
      </x:c>
      <x:c r="J55" s="22" t="n">
        <x:v>329.646</x:v>
      </x:c>
      <x:c r="K55" s="33" t="n">
        <x:v>7.1614</x:v>
      </x:c>
      <x:c r="L55" s="22" t="n">
        <x:v>411.803</x:v>
      </x:c>
      <x:c r="M55" s="20" t="str">
        <x:v>Macro-series cells reserved for validated monthly observations; source IDs are in Source Register.</x:v>
      </x:c>
      <x:c r="N55" s="64" t="n">
        <x:v>1462</x:v>
      </x:c>
      <x:c r="O55" s="23" t="n">
        <x:v>0.045032165832737725</x:v>
      </x:c>
      <x:c r="P55" s="40" t="n">
        <x:v>131.7358006013385</x:v>
      </x:c>
      <x:c r="Q55" s="20"/>
      <x:c r="R55" s="20"/>
      <x:c r="S55" s="20"/>
      <x:c r="T55" s="20"/>
      <x:c r="U55" s="20"/>
      <x:c r="V55" s="20"/>
      <x:c r="W55" s="20"/>
      <x:c r="X55" s="20"/>
      <x:c r="Y55" s="20"/>
      <x:c r="Z55" s="20"/>
    </x:row>
    <x:row r="56">
      <x:c r="A56" s="21" t="n">
        <x:v>45108</x:v>
      </x:c>
      <x:c r="B56" s="28" t="n">
        <x:v>24.99</x:v>
      </x:c>
      <x:c r="C56" s="20" t="str">
        <x:v>Validated analytical breakpoint</x:v>
      </x:c>
      <x:c r="D56" s="22" t="n">
        <x:v>272.999</x:v>
      </x:c>
      <x:c r="E56" s="22" t="n">
        <x:v>222.401</x:v>
      </x:c>
      <x:c r="F56" s="22" t="n">
        <x:v>402.522</x:v>
      </x:c>
      <x:c r="G56" s="22" t="n">
        <x:v>267.307</x:v>
      </x:c>
      <x:c r="H56" s="22" t="n">
        <x:v>360.256</x:v>
      </x:c>
      <x:c r="I56" s="22" t="n">
        <x:v>161.711</x:v>
      </x:c>
      <x:c r="J56" s="22" t="n">
        <x:v>328.237</x:v>
      </x:c>
      <x:c r="K56" s="33" t="n">
        <x:v>7.1863</x:v>
      </x:c>
      <x:c r="L56" s="22" t="n">
        <x:v>436.784</x:v>
      </x:c>
      <x:c r="M56" s="20" t="str">
        <x:v>Macro-series cells reserved for validated monthly observations; source IDs are in Source Register.</x:v>
      </x:c>
      <x:c r="N56" s="64" t="n">
        <x:v>1450</x:v>
      </x:c>
      <x:c r="O56" s="23" t="n">
        <x:v>-0.05352480417754568</x:v>
      </x:c>
      <x:c r="P56" s="40" t="n">
        <x:v>131.67483607115375</x:v>
      </x:c>
      <x:c r="Q56" s="20"/>
      <x:c r="R56" s="20"/>
      <x:c r="S56" s="20"/>
      <x:c r="T56" s="20"/>
      <x:c r="U56" s="20"/>
      <x:c r="V56" s="20"/>
      <x:c r="W56" s="20"/>
      <x:c r="X56" s="20"/>
      <x:c r="Y56" s="20"/>
      <x:c r="Z56" s="20"/>
    </x:row>
    <x:row r="57">
      <x:c r="A57" s="21" t="n">
        <x:v>45139</x:v>
      </x:c>
      <x:c r="B57" s="28" t="n">
        <x:v>24.99</x:v>
      </x:c>
      <x:c r="C57" s="20" t="str">
        <x:v>Validated analytical breakpoint</x:v>
      </x:c>
      <x:c r="D57" s="22" t="n">
        <x:v>268.977</x:v>
      </x:c>
      <x:c r="E57" s="22" t="n">
        <x:v>224.08</x:v>
      </x:c>
      <x:c r="F57" s="22" t="n">
        <x:v>406.344</x:v>
      </x:c>
      <x:c r="G57" s="22" t="n">
        <x:v>264.901</x:v>
      </x:c>
      <x:c r="H57" s="22" t="n">
        <x:v>359.164</x:v>
      </x:c>
      <x:c r="I57" s="22" t="n">
        <x:v>161.639</x:v>
      </x:c>
      <x:c r="J57" s="22" t="n">
        <x:v>325.34</x:v>
      </x:c>
      <x:c r="K57" s="33" t="n">
        <x:v>7.2486</x:v>
      </x:c>
      <x:c r="L57" s="22" t="n">
        <x:v>452.689</x:v>
      </x:c>
      <x:c r="M57" s="20" t="str">
        <x:v>Macro-series cells reserved for validated monthly observations; source IDs are in Source Register.</x:v>
      </x:c>
      <x:c r="N57" s="64" t="n">
        <x:v>1552</x:v>
      </x:c>
      <x:c r="O57" s="23" t="n">
        <x:v>-0.05768063145112323</x:v>
      </x:c>
      <x:c r="P57" s="40" t="n">
        <x:v>131.00987916058932</x:v>
      </x:c>
      <x:c r="Q57" s="20"/>
      <x:c r="R57" s="20"/>
      <x:c r="S57" s="20"/>
      <x:c r="T57" s="20"/>
      <x:c r="U57" s="20"/>
      <x:c r="V57" s="20"/>
      <x:c r="W57" s="20"/>
      <x:c r="X57" s="20"/>
      <x:c r="Y57" s="20"/>
      <x:c r="Z57" s="20"/>
    </x:row>
    <x:row r="58">
      <x:c r="A58" s="21" t="n">
        <x:v>45170</x:v>
      </x:c>
      <x:c r="B58" s="28" t="n">
        <x:v>24.99</x:v>
      </x:c>
      <x:c r="C58" s="20" t="str">
        <x:v>Validated analytical breakpoint</x:v>
      </x:c>
      <x:c r="D58" s="22" t="n">
        <x:v>268.394</x:v>
      </x:c>
      <x:c r="E58" s="22" t="n">
        <x:v>224.08</x:v>
      </x:c>
      <x:c r="F58" s="22" t="n">
        <x:v>405.11</x:v>
      </x:c>
      <x:c r="G58" s="22" t="n">
        <x:v>264.598</x:v>
      </x:c>
      <x:c r="H58" s="22" t="n">
        <x:v>359.627</x:v>
      </x:c>
      <x:c r="I58" s="22" t="n">
        <x:v>161.112</x:v>
      </x:c>
      <x:c r="J58" s="22" t="n">
        <x:v>325.056</x:v>
      </x:c>
      <x:c r="K58" s="33" t="n">
        <x:v>7.2979</x:v>
      </x:c>
      <x:c r="L58" s="22" t="n">
        <x:v>432.525</x:v>
      </x:c>
      <x:c r="M58" s="20" t="str">
        <x:v>Macro-series cells reserved for validated monthly observations; source IDs are in Source Register.</x:v>
      </x:c>
      <x:c r="N58" s="64" t="n">
        <x:v>1665</x:v>
      </x:c>
      <x:c r="O58" s="23" t="n">
        <x:v>-0.020011771630370823</x:v>
      </x:c>
      <x:c r="P58" s="40" t="n">
        <x:v>130.8729797800464</x:v>
      </x:c>
      <x:c r="Q58" s="20"/>
      <x:c r="R58" s="20"/>
      <x:c r="S58" s="20"/>
      <x:c r="T58" s="20"/>
      <x:c r="U58" s="20"/>
      <x:c r="V58" s="20"/>
      <x:c r="W58" s="20"/>
      <x:c r="X58" s="20"/>
      <x:c r="Y58" s="20"/>
      <x:c r="Z58" s="20"/>
    </x:row>
    <x:row r="59">
      <x:c r="A59" s="21" t="n">
        <x:v>45200</x:v>
      </x:c>
      <x:c r="B59" s="28" t="n">
        <x:v>24.99</x:v>
      </x:c>
      <x:c r="C59" s="20" t="str">
        <x:v>Validated analytical breakpoint</x:v>
      </x:c>
      <x:c r="D59" s="22" t="n">
        <x:v>268.101</x:v>
      </x:c>
      <x:c r="E59" s="22" t="n">
        <x:v>224.08</x:v>
      </x:c>
      <x:c r="F59" s="22" t="n">
        <x:v>400.796</x:v>
      </x:c>
      <x:c r="G59" s="22" t="n">
        <x:v>265.233</x:v>
      </x:c>
      <x:c r="H59" s="22" t="n">
        <x:v>359.842</x:v>
      </x:c>
      <x:c r="I59" s="22" t="n">
        <x:v>160.913</x:v>
      </x:c>
      <x:c r="J59" s="22" t="n">
        <x:v>325.088</x:v>
      </x:c>
      <x:c r="K59" s="33" t="n">
        <x:v>7.3071</x:v>
      </x:c>
      <x:c r="L59" s="22" t="n">
        <x:v>408.92</x:v>
      </x:c>
      <x:c r="M59" s="20" t="str">
        <x:v>Macro-series cells reserved for validated monthly observations; source IDs are in Source Register.</x:v>
      </x:c>
      <x:c r="N59" s="64" t="n">
        <x:v>1680</x:v>
      </x:c>
      <x:c r="O59" s="23" t="n">
        <x:v>-0.0513833992094862</x:v>
      </x:c>
      <x:c r="P59" s="40" t="n">
        <x:v>130.9247607593888</x:v>
      </x:c>
      <x:c r="Q59" s="20"/>
      <x:c r="R59" s="20"/>
      <x:c r="S59" s="20"/>
      <x:c r="T59" s="20"/>
      <x:c r="U59" s="20"/>
      <x:c r="V59" s="20"/>
      <x:c r="W59" s="20"/>
      <x:c r="X59" s="20"/>
      <x:c r="Y59" s="20"/>
      <x:c r="Z59" s="20"/>
    </x:row>
    <x:row r="60">
      <x:c r="A60" s="21" t="n">
        <x:v>45231</x:v>
      </x:c>
      <x:c r="B60" s="28" t="n">
        <x:v>24.99</x:v>
      </x:c>
      <x:c r="C60" s="20" t="str">
        <x:v>Validated analytical breakpoint</x:v>
      </x:c>
      <x:c r="D60" s="22" t="n">
        <x:v>268.972</x:v>
      </x:c>
      <x:c r="E60" s="22" t="n">
        <x:v>224.08</x:v>
      </x:c>
      <x:c r="F60" s="22" t="n">
        <x:v>401.425</x:v>
      </x:c>
      <x:c r="G60" s="22" t="n">
        <x:v>267.724</x:v>
      </x:c>
      <x:c r="H60" s="22" t="n">
        <x:v>359.758</x:v>
      </x:c>
      <x:c r="I60" s="22" t="n">
        <x:v>159.084</x:v>
      </x:c>
      <x:c r="J60" s="22" t="n">
        <x:v>325.104</x:v>
      </x:c>
      <x:c r="K60" s="33" t="n">
        <x:v>7.2226</x:v>
      </x:c>
      <x:c r="L60" s="22" t="n">
        <x:v>396.223</x:v>
      </x:c>
      <x:c r="M60" s="20" t="str">
        <x:v>Macro-series cells reserved for validated monthly observations; source IDs are in Source Register.</x:v>
      </x:c>
      <x:c r="N60" s="64" t="n">
        <x:v>2565</x:v>
      </x:c>
      <x:c r="O60" s="23" t="n">
        <x:v>-0.017241379310344862</x:v>
      </x:c>
      <x:c r="P60" s="40" t="n">
        <x:v>130.79362293360552</x:v>
      </x:c>
      <x:c r="Q60" s="20"/>
      <x:c r="R60" s="20"/>
      <x:c r="S60" s="20"/>
      <x:c r="T60" s="20"/>
      <x:c r="U60" s="20"/>
      <x:c r="V60" s="20"/>
      <x:c r="W60" s="20"/>
      <x:c r="X60" s="20"/>
      <x:c r="Y60" s="20"/>
      <x:c r="Z60" s="20"/>
    </x:row>
    <x:row r="61">
      <x:c r="A61" s="21" t="n">
        <x:v>45261</x:v>
      </x:c>
      <x:c r="B61" s="28" t="n">
        <x:v>24.99</x:v>
      </x:c>
      <x:c r="C61" s="20" t="str">
        <x:v>Validated analytical breakpoint</x:v>
      </x:c>
      <x:c r="D61" s="22" t="n">
        <x:v>267.825</x:v>
      </x:c>
      <x:c r="E61" s="22" t="n">
        <x:v>224.08</x:v>
      </x:c>
      <x:c r="F61" s="22" t="n">
        <x:v>401.048</x:v>
      </x:c>
      <x:c r="G61" s="22" t="n">
        <x:v>268.282</x:v>
      </x:c>
      <x:c r="H61" s="22" t="n">
        <x:v>359.065</x:v>
      </x:c>
      <x:c r="I61" s="22" t="n">
        <x:v>158.579</x:v>
      </x:c>
      <x:c r="J61" s="22" t="n">
        <x:v>324.897</x:v>
      </x:c>
      <x:c r="K61" s="33" t="n">
        <x:v>7.1402</x:v>
      </x:c>
      <x:c r="L61" s="22" t="n">
        <x:v>408.436</x:v>
      </x:c>
      <x:c r="M61" s="20" t="str">
        <x:v>Macro-series cells reserved for validated monthly observations; source IDs are in Source Register.</x:v>
      </x:c>
      <x:c r="N61" s="64" t="n">
        <x:v>2783</x:v>
      </x:c>
      <x:c r="O61" s="23" t="n">
        <x:v>-0.012069577564785217</x:v>
      </x:c>
      <x:c r="P61" s="40" t="n">
        <x:v>130.65990102955448</x:v>
      </x:c>
      <x:c r="Q61" s="20"/>
      <x:c r="R61" s="20"/>
      <x:c r="S61" s="20"/>
      <x:c r="T61" s="20"/>
      <x:c r="U61" s="20"/>
      <x:c r="V61" s="20"/>
      <x:c r="W61" s="20"/>
      <x:c r="X61" s="20"/>
      <x:c r="Y61" s="20"/>
      <x:c r="Z61" s="20"/>
    </x:row>
    <x:row r="62">
      <x:c r="A62" s="21" t="n">
        <x:v>45292</x:v>
      </x:c>
      <x:c r="B62" s="28" t="n">
        <x:v>24.99</x:v>
      </x:c>
      <x:c r="C62" s="20" t="str">
        <x:v>Validated analytical breakpoint</x:v>
      </x:c>
      <x:c r="D62" s="22" t="n">
        <x:v>264.566</x:v>
      </x:c>
      <x:c r="E62" s="22" t="n">
        <x:v>230.396</x:v>
      </x:c>
      <x:c r="F62" s="22" t="n">
        <x:v>400.63</x:v>
      </x:c>
      <x:c r="G62" s="22" t="n">
        <x:v>267.96</x:v>
      </x:c>
      <x:c r="H62" s="22" t="n">
        <x:v>359.543</x:v>
      </x:c>
      <x:c r="I62" s="22" t="n">
        <x:v>160.584</x:v>
      </x:c>
      <x:c r="J62" s="22" t="n">
        <x:v>320.256</x:v>
      </x:c>
      <x:c r="K62" s="33" t="n">
        <x:v>7.1707</x:v>
      </x:c>
      <x:c r="L62" s="22" t="n">
        <x:v>420.196</x:v>
      </x:c>
      <x:c r="M62" s="20" t="str">
        <x:v>Macro-series cells reserved for validated monthly observations; source IDs are in Source Register.</x:v>
      </x:c>
      <x:c r="N62" s="64" t="n">
        <x:v>1436</x:v>
      </x:c>
      <x:c r="O62" s="23" t="n">
        <x:v>-0.02046384720327421</x:v>
      </x:c>
      <x:c r="P62" s="40" t="n">
        <x:v>130.6927535438601</x:v>
      </x:c>
      <x:c r="Q62" s="20"/>
      <x:c r="R62" s="20"/>
      <x:c r="S62" s="20"/>
      <x:c r="T62" s="20"/>
      <x:c r="U62" s="20"/>
      <x:c r="V62" s="20"/>
      <x:c r="W62" s="20"/>
      <x:c r="X62" s="20"/>
      <x:c r="Y62" s="20"/>
      <x:c r="Z62" s="20"/>
    </x:row>
    <x:row r="63">
      <x:c r="A63" s="21" t="n">
        <x:v>45323</x:v>
      </x:c>
      <x:c r="B63" s="28" t="n">
        <x:v>24.99</x:v>
      </x:c>
      <x:c r="C63" s="20" t="str">
        <x:v>Validated analytical breakpoint</x:v>
      </x:c>
      <x:c r="D63" s="22" t="n">
        <x:v>270.597</x:v>
      </x:c>
      <x:c r="E63" s="22" t="n">
        <x:v>229.287</x:v>
      </x:c>
      <x:c r="F63" s="22" t="n">
        <x:v>400.192</x:v>
      </x:c>
      <x:c r="G63" s="22" t="n">
        <x:v>266.945</x:v>
      </x:c>
      <x:c r="H63" s="22" t="n">
        <x:v>357.881</x:v>
      </x:c>
      <x:c r="I63" s="22" t="n">
        <x:v>162.206</x:v>
      </x:c>
      <x:c r="J63" s="22" t="n">
        <x:v>319.05</x:v>
      </x:c>
      <x:c r="K63" s="33" t="n">
        <x:v>7.1935</x:v>
      </x:c>
      <x:c r="L63" s="22" t="n">
        <x:v>410.193</x:v>
      </x:c>
      <x:c r="M63" s="20" t="str">
        <x:v>Macro-series cells reserved for validated monthly observations; source IDs are in Source Register.</x:v>
      </x:c>
      <x:c r="N63" s="64" t="n">
        <x:v>1450</x:v>
      </x:c>
      <x:c r="O63" s="23" t="n">
        <x:v>0.04017216642754673</x:v>
      </x:c>
      <x:c r="P63" s="40" t="n">
        <x:v>130.6742745039481</x:v>
      </x:c>
      <x:c r="Q63" s="20"/>
      <x:c r="R63" s="20"/>
      <x:c r="S63" s="20"/>
      <x:c r="T63" s="20"/>
      <x:c r="U63" s="20"/>
      <x:c r="V63" s="20"/>
      <x:c r="W63" s="20"/>
      <x:c r="X63" s="20"/>
      <x:c r="Y63" s="20"/>
      <x:c r="Z63" s="20"/>
    </x:row>
    <x:row r="64">
      <x:c r="A64" s="21" t="n">
        <x:v>45352</x:v>
      </x:c>
      <x:c r="B64" s="28" t="n">
        <x:v>24.99</x:v>
      </x:c>
      <x:c r="C64" s="20" t="str">
        <x:v>Validated analytical breakpoint</x:v>
      </x:c>
      <x:c r="D64" s="22" t="n">
        <x:v>268.538</x:v>
      </x:c>
      <x:c r="E64" s="22" t="n">
        <x:v>229.287</x:v>
      </x:c>
      <x:c r="F64" s="22" t="n">
        <x:v>400.132</x:v>
      </x:c>
      <x:c r="G64" s="22" t="n">
        <x:v>266.944</x:v>
      </x:c>
      <x:c r="H64" s="22" t="n">
        <x:v>359.777</x:v>
      </x:c>
      <x:c r="I64" s="22" t="n">
        <x:v>159.117</x:v>
      </x:c>
      <x:c r="J64" s="22" t="n">
        <x:v>320.595</x:v>
      </x:c>
      <x:c r="K64" s="33" t="n">
        <x:v>7.2015</x:v>
      </x:c>
      <x:c r="L64" s="22" t="n">
        <x:v>398.465</x:v>
      </x:c>
      <x:c r="M64" s="20" t="str">
        <x:v>Macro-series cells reserved for validated monthly observations; source IDs are in Source Register.</x:v>
      </x:c>
      <x:c r="N64" s="64" t="n">
        <x:v>1594</x:v>
      </x:c>
      <x:c r="O64" s="23" t="n">
        <x:v>0.023763648041104757</x:v>
      </x:c>
      <x:c r="P64" s="40" t="n">
        <x:v>130.2966593186798</x:v>
      </x:c>
      <x:c r="Q64" s="20"/>
      <x:c r="R64" s="20"/>
      <x:c r="S64" s="20"/>
      <x:c r="T64" s="20"/>
      <x:c r="U64" s="20"/>
      <x:c r="V64" s="20"/>
      <x:c r="W64" s="20"/>
      <x:c r="X64" s="20"/>
      <x:c r="Y64" s="20"/>
      <x:c r="Z64" s="20"/>
    </x:row>
    <x:row r="65">
      <x:c r="A65" s="21" t="n">
        <x:v>45383</x:v>
      </x:c>
      <x:c r="B65" s="28" t="n">
        <x:v>24.99</x:v>
      </x:c>
      <x:c r="C65" s="20" t="str">
        <x:v>Validated analytical breakpoint</x:v>
      </x:c>
      <x:c r="D65" s="22" t="n">
        <x:v>269.99</x:v>
      </x:c>
      <x:c r="E65" s="22" t="n">
        <x:v>229.948</x:v>
      </x:c>
      <x:c r="F65" s="22" t="n">
        <x:v>399.228</x:v>
      </x:c>
      <x:c r="G65" s="22" t="n">
        <x:v>264.146</x:v>
      </x:c>
      <x:c r="H65" s="22" t="n">
        <x:v>361.011</x:v>
      </x:c>
      <x:c r="I65" s="22" t="n">
        <x:v>159.311</x:v>
      </x:c>
      <x:c r="J65" s="22" t="n">
        <x:v>323.456</x:v>
      </x:c>
      <x:c r="K65" s="33" t="n">
        <x:v>7.2374</x:v>
      </x:c>
      <x:c r="L65" s="22" t="n">
        <x:v>400.708</x:v>
      </x:c>
      <x:c r="M65" s="20" t="str">
        <x:v>Macro-series cells reserved for validated monthly observations; source IDs are in Source Register.</x:v>
      </x:c>
      <x:c r="N65" s="64" t="n">
        <x:v>1404</x:v>
      </x:c>
      <x:c r="O65" s="23" t="n">
        <x:v>0.0021413276231263545</x:v>
      </x:c>
      <x:c r="P65" s="40" t="n">
        <x:v>130.39607163171507</x:v>
      </x:c>
      <x:c r="Q65" s="20"/>
      <x:c r="R65" s="20"/>
      <x:c r="S65" s="20"/>
      <x:c r="T65" s="20"/>
      <x:c r="U65" s="20"/>
      <x:c r="V65" s="20"/>
      <x:c r="W65" s="20"/>
      <x:c r="X65" s="20"/>
      <x:c r="Y65" s="20"/>
      <x:c r="Z65" s="20"/>
    </x:row>
    <x:row r="66">
      <x:c r="A66" s="21" t="n">
        <x:v>45413</x:v>
      </x:c>
      <x:c r="B66" s="28" t="n">
        <x:v>24.99</x:v>
      </x:c>
      <x:c r="C66" s="20" t="str">
        <x:v>Validated analytical breakpoint</x:v>
      </x:c>
      <x:c r="D66" s="22" t="n">
        <x:v>269.8</x:v>
      </x:c>
      <x:c r="E66" s="22" t="n">
        <x:v>230.541</x:v>
      </x:c>
      <x:c r="F66" s="22" t="n">
        <x:v>398.373</x:v>
      </x:c>
      <x:c r="G66" s="22" t="n">
        <x:v>263.85</x:v>
      </x:c>
      <x:c r="H66" s="22" t="n">
        <x:v>361.3</x:v>
      </x:c>
      <x:c r="I66" s="22" t="n">
        <x:v>161.243</x:v>
      </x:c>
      <x:c r="J66" s="22" t="n">
        <x:v>325.619</x:v>
      </x:c>
      <x:c r="K66" s="33" t="n">
        <x:v>7.2327</x:v>
      </x:c>
      <x:c r="L66" s="22" t="n">
        <x:v>414.552</x:v>
      </x:c>
      <x:c r="M66" s="20" t="str">
        <x:v>Macro-series cells reserved for validated monthly observations; source IDs are in Source Register.</x:v>
      </x:c>
      <x:c r="N66" s="64" t="n">
        <x:v>1474</x:v>
      </x:c>
      <x:c r="O66" s="23" t="n">
        <x:v>0.00889801505817922</x:v>
      </x:c>
      <x:c r="P66" s="40" t="n">
        <x:v>131.02511059587007</x:v>
      </x:c>
      <x:c r="Q66" s="20"/>
      <x:c r="R66" s="20"/>
      <x:c r="S66" s="20"/>
      <x:c r="T66" s="20"/>
      <x:c r="U66" s="20"/>
      <x:c r="V66" s="20"/>
      <x:c r="W66" s="20"/>
      <x:c r="X66" s="20"/>
      <x:c r="Y66" s="20"/>
      <x:c r="Z66" s="20"/>
    </x:row>
    <x:row r="67">
      <x:c r="A67" s="21" t="n">
        <x:v>45444</x:v>
      </x:c>
      <x:c r="B67" s="28" t="n">
        <x:v>24.99</x:v>
      </x:c>
      <x:c r="C67" s="20" t="str">
        <x:v>Validated analytical breakpoint</x:v>
      </x:c>
      <x:c r="D67" s="22" t="n">
        <x:v>268.83</x:v>
      </x:c>
      <x:c r="E67" s="22" t="n">
        <x:v>230.541</x:v>
      </x:c>
      <x:c r="F67" s="22" t="n">
        <x:v>398.701</x:v>
      </x:c>
      <x:c r="G67" s="22" t="n">
        <x:v>263.891</x:v>
      </x:c>
      <x:c r="H67" s="22" t="n">
        <x:v>360.487</x:v>
      </x:c>
      <x:c r="I67" s="22" t="n">
        <x:v>160.123</x:v>
      </x:c>
      <x:c r="J67" s="22" t="n">
        <x:v>326.191</x:v>
      </x:c>
      <x:c r="K67" s="33" t="n">
        <x:v>7.2547</x:v>
      </x:c>
      <x:c r="L67" s="22" t="n">
        <x:v>434.674</x:v>
      </x:c>
      <x:c r="M67" s="20" t="str">
        <x:v>Macro-series cells reserved for validated monthly observations; source IDs are in Source Register.</x:v>
      </x:c>
      <x:c r="N67" s="64" t="n">
        <x:v>1421</x:v>
      </x:c>
      <x:c r="O67" s="23" t="n">
        <x:v>-0.028043775649794767</x:v>
      </x:c>
      <x:c r="P67" s="40" t="n">
        <x:v>130.75300756196413</x:v>
      </x:c>
      <x:c r="Q67" s="20"/>
      <x:c r="R67" s="20"/>
      <x:c r="S67" s="20"/>
      <x:c r="T67" s="20"/>
      <x:c r="U67" s="20"/>
      <x:c r="V67" s="20"/>
      <x:c r="W67" s="20"/>
      <x:c r="X67" s="20"/>
      <x:c r="Y67" s="20"/>
      <x:c r="Z67" s="20"/>
    </x:row>
    <x:row r="68">
      <x:c r="A68" s="21" t="n">
        <x:v>45474</x:v>
      </x:c>
      <x:c r="B68" s="28" t="n">
        <x:v>24.99</x:v>
      </x:c>
      <x:c r="C68" s="20" t="str">
        <x:v>Validated analytical breakpoint</x:v>
      </x:c>
      <x:c r="D68" s="22" t="n">
        <x:v>273.5</x:v>
      </x:c>
      <x:c r="E68" s="22" t="n">
        <x:v>232.272</x:v>
      </x:c>
      <x:c r="F68" s="22" t="n">
        <x:v>399.025</x:v>
      </x:c>
      <x:c r="G68" s="22" t="n">
        <x:v>263.648</x:v>
      </x:c>
      <x:c r="H68" s="22" t="n">
        <x:v>361.04</x:v>
      </x:c>
      <x:c r="I68" s="22" t="n">
        <x:v>161.545</x:v>
      </x:c>
      <x:c r="J68" s="22" t="n">
        <x:v>326.617</x:v>
      </x:c>
      <x:c r="K68" s="33" t="n">
        <x:v>7.2609</x:v>
      </x:c>
      <x:c r="L68" s="22" t="n">
        <x:v>439.668</x:v>
      </x:c>
      <x:c r="M68" s="20" t="str">
        <x:v>Macro-series cells reserved for validated monthly observations; source IDs are in Source Register.</x:v>
      </x:c>
      <x:c r="N68" s="64" t="n">
        <x:v>1445</x:v>
      </x:c>
      <x:c r="O68" s="23" t="n">
        <x:v>-0.0034482758620689724</x:v>
      </x:c>
      <x:c r="P68" s="40" t="n">
        <x:v>131.1375496440031</x:v>
      </x:c>
      <x:c r="Q68" s="20"/>
      <x:c r="R68" s="20"/>
      <x:c r="S68" s="20"/>
      <x:c r="T68" s="20"/>
      <x:c r="U68" s="20"/>
      <x:c r="V68" s="20"/>
      <x:c r="W68" s="20"/>
      <x:c r="X68" s="20"/>
      <x:c r="Y68" s="20"/>
      <x:c r="Z68" s="20"/>
    </x:row>
    <x:row r="69">
      <x:c r="A69" s="21" t="n">
        <x:v>45505</x:v>
      </x:c>
      <x:c r="B69" s="28" t="n">
        <x:v>24.99</x:v>
      </x:c>
      <x:c r="C69" s="20" t="str">
        <x:v>Validated analytical breakpoint</x:v>
      </x:c>
      <x:c r="D69" s="22" t="n">
        <x:v>273.517</x:v>
      </x:c>
      <x:c r="E69" s="22" t="n">
        <x:v>232.272</x:v>
      </x:c>
      <x:c r="F69" s="22" t="n">
        <x:v>400.318</x:v>
      </x:c>
      <x:c r="G69" s="22" t="n">
        <x:v>262.771</x:v>
      </x:c>
      <x:c r="H69" s="22" t="n">
        <x:v>364.116</x:v>
      </x:c>
      <x:c r="I69" s="22" t="n">
        <x:v>162.014</x:v>
      </x:c>
      <x:c r="J69" s="22" t="n">
        <x:v>332.117</x:v>
      </x:c>
      <x:c r="K69" s="33" t="n">
        <x:v>7.1475</x:v>
      </x:c>
      <x:c r="L69" s="22" t="n">
        <x:v>432.687</x:v>
      </x:c>
      <x:c r="M69" s="20" t="str">
        <x:v>Macro-series cells reserved for validated monthly observations; source IDs are in Source Register.</x:v>
      </x:c>
      <x:c r="N69" s="64" t="n">
        <x:v>1615</x:v>
      </x:c>
      <x:c r="O69" s="23" t="n">
        <x:v>0.04059278350515472</x:v>
      </x:c>
      <x:c r="P69" s="40" t="n">
        <x:v>131.93831588421276</x:v>
      </x:c>
      <x:c r="Q69" s="20"/>
      <x:c r="R69" s="20"/>
      <x:c r="S69" s="20"/>
      <x:c r="T69" s="20"/>
      <x:c r="U69" s="20"/>
      <x:c r="V69" s="20"/>
      <x:c r="W69" s="20"/>
      <x:c r="X69" s="20"/>
      <x:c r="Y69" s="20"/>
      <x:c r="Z69" s="20"/>
    </x:row>
    <x:row r="70">
      <x:c r="A70" s="21" t="n">
        <x:v>45536</x:v>
      </x:c>
      <x:c r="B70" s="28" t="n">
        <x:v>24.99</x:v>
      </x:c>
      <x:c r="C70" s="20" t="str">
        <x:v>Validated analytical breakpoint</x:v>
      </x:c>
      <x:c r="D70" s="22" t="n">
        <x:v>266.442</x:v>
      </x:c>
      <x:c r="E70" s="22" t="n">
        <x:v>232.272</x:v>
      </x:c>
      <x:c r="F70" s="22" t="n">
        <x:v>402.438</x:v>
      </x:c>
      <x:c r="G70" s="22" t="n">
        <x:v>262.872</x:v>
      </x:c>
      <x:c r="H70" s="22" t="n">
        <x:v>365.519</x:v>
      </x:c>
      <x:c r="I70" s="22" t="n">
        <x:v>162.442</x:v>
      </x:c>
      <x:c r="J70" s="22" t="n">
        <x:v>334.758</x:v>
      </x:c>
      <x:c r="K70" s="33" t="n">
        <x:v>7.076</x:v>
      </x:c>
      <x:c r="L70" s="22" t="n">
        <x:v>414.282</x:v>
      </x:c>
      <x:c r="M70" s="20" t="str">
        <x:v>Macro-series cells reserved for validated monthly observations; source IDs are in Source Register.</x:v>
      </x:c>
      <x:c r="N70" s="64" t="n">
        <x:v>1594</x:v>
      </x:c>
      <x:c r="O70" s="23" t="n">
        <x:v>-0.042642642642642614</x:v>
      </x:c>
      <x:c r="P70" s="40" t="n">
        <x:v>132.42222229466438</x:v>
      </x:c>
      <x:c r="Q70" s="20"/>
      <x:c r="R70" s="20"/>
      <x:c r="S70" s="20"/>
      <x:c r="T70" s="20"/>
      <x:c r="U70" s="20"/>
      <x:c r="V70" s="20"/>
      <x:c r="W70" s="20"/>
      <x:c r="X70" s="20"/>
      <x:c r="Y70" s="20"/>
      <x:c r="Z70" s="20"/>
    </x:row>
    <x:row r="71">
      <x:c r="A71" s="21" t="n">
        <x:v>45566</x:v>
      </x:c>
      <x:c r="B71" s="28" t="n">
        <x:v>24.99</x:v>
      </x:c>
      <x:c r="C71" s="20" t="str">
        <x:v>Validated analytical breakpoint</x:v>
      </x:c>
      <x:c r="D71" s="22" t="n">
        <x:v>269.186</x:v>
      </x:c>
      <x:c r="E71" s="22" t="n">
        <x:v>234.844</x:v>
      </x:c>
      <x:c r="F71" s="22" t="n">
        <x:v>402.486</x:v>
      </x:c>
      <x:c r="G71" s="22" t="n">
        <x:v>261.332</x:v>
      </x:c>
      <x:c r="H71" s="22" t="n">
        <x:v>365.304</x:v>
      </x:c>
      <x:c r="I71" s="22" t="n">
        <x:v>162.825</x:v>
      </x:c>
      <x:c r="J71" s="22" t="n">
        <x:v>339.135</x:v>
      </x:c>
      <x:c r="K71" s="33" t="n">
        <x:v>7.0881</x:v>
      </x:c>
      <x:c r="L71" s="22" t="n">
        <x:v>409.49</x:v>
      </x:c>
      <x:c r="M71" s="20" t="str">
        <x:v>Macro-series cells reserved for validated monthly observations; source IDs are in Source Register.</x:v>
      </x:c>
      <x:c r="N71" s="64" t="n">
        <x:v>1789</x:v>
      </x:c>
      <x:c r="O71" s="23" t="n">
        <x:v>0.06488095238095237</x:v>
      </x:c>
      <x:c r="P71" s="40" t="n">
        <x:v>132.71372586924798</x:v>
      </x:c>
      <x:c r="Q71" s="20"/>
      <x:c r="R71" s="20"/>
      <x:c r="S71" s="20"/>
      <x:c r="T71" s="20"/>
      <x:c r="U71" s="20"/>
      <x:c r="V71" s="20"/>
      <x:c r="W71" s="20"/>
      <x:c r="X71" s="20"/>
      <x:c r="Y71" s="20"/>
      <x:c r="Z71" s="20"/>
    </x:row>
    <x:row r="72">
      <x:c r="A72" s="21" t="n">
        <x:v>45597</x:v>
      </x:c>
      <x:c r="B72" s="28" t="n">
        <x:v>24.99</x:v>
      </x:c>
      <x:c r="C72" s="20" t="str">
        <x:v>Validated analytical breakpoint</x:v>
      </x:c>
      <x:c r="D72" s="22" t="n">
        <x:v>267.225</x:v>
      </x:c>
      <x:c r="E72" s="22" t="n">
        <x:v>234.271</x:v>
      </x:c>
      <x:c r="F72" s="22" t="n">
        <x:v>403.45</x:v>
      </x:c>
      <x:c r="G72" s="22" t="n">
        <x:v>262.718</x:v>
      </x:c>
      <x:c r="H72" s="22" t="n">
        <x:v>365.32</x:v>
      </x:c>
      <x:c r="I72" s="22" t="n">
        <x:v>164.359</x:v>
      </x:c>
      <x:c r="J72" s="22" t="n">
        <x:v>339.135</x:v>
      </x:c>
      <x:c r="K72" s="33" t="n">
        <x:v>7.2063</x:v>
      </x:c>
      <x:c r="L72" s="22" t="n">
        <x:v>396.571</x:v>
      </x:c>
      <x:c r="M72" s="20" t="str">
        <x:v>Macro-series cells reserved for validated monthly observations; source IDs are in Source Register.</x:v>
      </x:c>
      <x:c r="N72" s="64" t="n">
        <x:v>2772</x:v>
      </x:c>
      <x:c r="O72" s="23" t="n">
        <x:v>0.08070175438596494</x:v>
      </x:c>
      <x:c r="P72" s="40" t="n">
        <x:v>133.22261499877564</x:v>
      </x:c>
      <x:c r="Q72" s="20"/>
      <x:c r="R72" s="20"/>
      <x:c r="S72" s="20"/>
      <x:c r="T72" s="20"/>
      <x:c r="U72" s="20"/>
      <x:c r="V72" s="20"/>
      <x:c r="W72" s="20"/>
      <x:c r="X72" s="20"/>
      <x:c r="Y72" s="20"/>
      <x:c r="Z72" s="20"/>
    </x:row>
    <x:row r="73">
      <x:c r="A73" s="21" t="n">
        <x:v>45627</x:v>
      </x:c>
      <x:c r="B73" s="28" t="n">
        <x:v>24.99</x:v>
      </x:c>
      <x:c r="C73" s="20" t="str">
        <x:v>Validated analytical breakpoint</x:v>
      </x:c>
      <x:c r="D73" s="22" t="n">
        <x:v>265.648</x:v>
      </x:c>
      <x:c r="E73" s="22" t="n">
        <x:v>234.278</x:v>
      </x:c>
      <x:c r="F73" s="22" t="n">
        <x:v>403.584</x:v>
      </x:c>
      <x:c r="G73" s="22" t="n">
        <x:v>262.978</x:v>
      </x:c>
      <x:c r="H73" s="22" t="n">
        <x:v>365.409</x:v>
      </x:c>
      <x:c r="I73" s="22" t="n">
        <x:v>164.441</x:v>
      </x:c>
      <x:c r="J73" s="22" t="n">
        <x:v>339.876</x:v>
      </x:c>
      <x:c r="K73" s="33" t="n">
        <x:v>7.2807</x:v>
      </x:c>
      <x:c r="L73" s="22" t="n">
        <x:v>394.191</x:v>
      </x:c>
      <x:c r="M73" s="20" t="str">
        <x:v>Macro-series cells reserved for validated monthly observations; source IDs are in Source Register.</x:v>
      </x:c>
      <x:c r="N73" s="64" t="n">
        <x:v>2856</x:v>
      </x:c>
      <x:c r="O73" s="23" t="n">
        <x:v>0.026230686309737683</x:v>
      </x:c>
      <x:c r="P73" s="40" t="n">
        <x:v>133.34798523297204</x:v>
      </x:c>
      <x:c r="Q73" s="20"/>
      <x:c r="R73" s="20"/>
      <x:c r="S73" s="20"/>
      <x:c r="T73" s="20"/>
      <x:c r="U73" s="20"/>
      <x:c r="V73" s="20"/>
      <x:c r="W73" s="20"/>
      <x:c r="X73" s="20"/>
      <x:c r="Y73" s="20"/>
      <x:c r="Z73" s="20"/>
    </x:row>
    <x:row r="74">
      <x:c r="A74" s="21" t="n">
        <x:v>45658</x:v>
      </x:c>
      <x:c r="B74" s="28" t="n">
        <x:v>24.99</x:v>
      </x:c>
      <x:c r="C74" s="20" t="str">
        <x:v>Validated analytical breakpoint</x:v>
      </x:c>
      <x:c r="D74" s="22" t="n">
        <x:v>263.763</x:v>
      </x:c>
      <x:c r="E74" s="22" t="n">
        <x:v>234.278</x:v>
      </x:c>
      <x:c r="F74" s="22" t="n">
        <x:v>403.828</x:v>
      </x:c>
      <x:c r="G74" s="22" t="n">
        <x:v>263.207</x:v>
      </x:c>
      <x:c r="H74" s="22" t="n">
        <x:v>365.588</x:v>
      </x:c>
      <x:c r="I74" s="22" t="n">
        <x:v>162.708</x:v>
      </x:c>
      <x:c r="J74" s="22" t="n">
        <x:v>341.915</x:v>
      </x:c>
      <x:c r="K74" s="33" t="n">
        <x:v>7.2957</x:v>
      </x:c>
      <x:c r="L74" s="22" t="n">
        <x:v>428.44</x:v>
      </x:c>
      <x:c r="M74" s="20" t="str">
        <x:v>Macro-series cells reserved for validated monthly observations; source IDs are in Source Register.</x:v>
      </x:c>
      <x:c r="N74" s="64" t="n">
        <x:v>1521</x:v>
      </x:c>
      <x:c r="O74" s="23" t="n">
        <x:v>0.05919220055710306</x:v>
      </x:c>
      <x:c r="P74" s="40" t="n">
        <x:v>133.1876596641865</x:v>
      </x:c>
      <x:c r="Q74" s="20"/>
      <x:c r="R74" s="20"/>
      <x:c r="S74" s="20"/>
      <x:c r="T74" s="20"/>
      <x:c r="U74" s="20"/>
      <x:c r="V74" s="20"/>
      <x:c r="W74" s="20"/>
      <x:c r="X74" s="20"/>
      <x:c r="Y74" s="20"/>
      <x:c r="Z74" s="20"/>
    </x:row>
    <x:row r="75">
      <x:c r="A75" s="21" t="n">
        <x:v>45689</x:v>
      </x:c>
      <x:c r="B75" s="28" t="n">
        <x:v>24.99</x:v>
      </x:c>
      <x:c r="C75" s="20" t="str">
        <x:v>Validated analytical breakpoint</x:v>
      </x:c>
      <x:c r="D75" s="22" t="n">
        <x:v>272.924</x:v>
      </x:c>
      <x:c r="E75" s="22" t="n">
        <x:v>237.491</x:v>
      </x:c>
      <x:c r="F75" s="22" t="n">
        <x:v>404.935</x:v>
      </x:c>
      <x:c r="G75" s="22" t="n">
        <x:v>263.142</x:v>
      </x:c>
      <x:c r="H75" s="22" t="n">
        <x:v>367.612</x:v>
      </x:c>
      <x:c r="I75" s="22" t="n">
        <x:v>163.245</x:v>
      </x:c>
      <x:c r="J75" s="22" t="n">
        <x:v>342.139</x:v>
      </x:c>
      <x:c r="K75" s="33" t="n">
        <x:v>7.2734</x:v>
      </x:c>
      <x:c r="L75" s="22" t="n">
        <x:v>437.603</x:v>
      </x:c>
      <x:c r="M75" s="20" t="str">
        <x:v>Macro-series cells reserved for validated monthly observations; source IDs are in Source Register.</x:v>
      </x:c>
      <x:c r="N75" s="64" t="n">
        <x:v>1429</x:v>
      </x:c>
      <x:c r="O75" s="23" t="n">
        <x:v>-0.014482758620689706</x:v>
      </x:c>
      <x:c r="P75" s="40" t="n">
        <x:v>133.51246310462176</x:v>
      </x:c>
      <x:c r="Q75" s="20"/>
      <x:c r="R75" s="20"/>
      <x:c r="S75" s="20"/>
      <x:c r="T75" s="20"/>
      <x:c r="U75" s="20"/>
      <x:c r="V75" s="20"/>
      <x:c r="W75" s="20"/>
      <x:c r="X75" s="20"/>
      <x:c r="Y75" s="20"/>
      <x:c r="Z75" s="20"/>
    </x:row>
    <x:row r="76">
      <x:c r="A76" s="21" t="n">
        <x:v>45717</x:v>
      </x:c>
      <x:c r="B76" s="28" t="n">
        <x:v>24.99</x:v>
      </x:c>
      <x:c r="C76" s="20" t="str">
        <x:v>Validated analytical breakpoint</x:v>
      </x:c>
      <x:c r="D76" s="22" t="n">
        <x:v>275.426</x:v>
      </x:c>
      <x:c r="E76" s="22" t="n">
        <x:v>238.58</x:v>
      </x:c>
      <x:c r="F76" s="22" t="n">
        <x:v>406.24</x:v>
      </x:c>
      <x:c r="G76" s="22" t="n">
        <x:v>263.091</x:v>
      </x:c>
      <x:c r="H76" s="22" t="n">
        <x:v>370.144</x:v>
      </x:c>
      <x:c r="I76" s="22" t="n">
        <x:v>163.439</x:v>
      </x:c>
      <x:c r="J76" s="22" t="n">
        <x:v>342.792</x:v>
      </x:c>
      <x:c r="K76" s="33" t="n">
        <x:v>7.2493</x:v>
      </x:c>
      <x:c r="L76" s="22" t="n">
        <x:v>415.837</x:v>
      </x:c>
      <x:c r="M76" s="20" t="str">
        <x:v>Macro-series cells reserved for validated monthly observations; source IDs are in Source Register.</x:v>
      </x:c>
      <x:c r="N76" s="64" t="n">
        <x:v>1712</x:v>
      </x:c>
      <x:c r="O76" s="23" t="n">
        <x:v>0.07402760351317439</x:v>
      </x:c>
      <x:c r="P76" s="40" t="n">
        <x:v>133.84868088774653</x:v>
      </x:c>
      <x:c r="Q76" s="20"/>
      <x:c r="R76" s="20"/>
      <x:c r="S76" s="20"/>
      <x:c r="T76" s="20"/>
      <x:c r="U76" s="20"/>
      <x:c r="V76" s="20"/>
      <x:c r="W76" s="20"/>
      <x:c r="X76" s="20"/>
      <x:c r="Y76" s="20"/>
      <x:c r="Z76" s="20"/>
    </x:row>
    <x:row r="77">
      <x:c r="A77" s="21" t="n">
        <x:v>45748</x:v>
      </x:c>
      <x:c r="B77" s="28" t="n">
        <x:v>24.99</x:v>
      </x:c>
      <x:c r="C77" s="20" t="str">
        <x:v>Validated analytical breakpoint</x:v>
      </x:c>
      <x:c r="D77" s="22" t="n">
        <x:v>273.469</x:v>
      </x:c>
      <x:c r="E77" s="22" t="n">
        <x:v>238.58</x:v>
      </x:c>
      <x:c r="F77" s="22" t="n">
        <x:v>404.08</x:v>
      </x:c>
      <x:c r="G77" s="22" t="n">
        <x:v>266.186</x:v>
      </x:c>
      <x:c r="H77" s="22" t="n">
        <x:v>371.572</x:v>
      </x:c>
      <x:c r="I77" s="22" t="n">
        <x:v>164.906</x:v>
      </x:c>
      <x:c r="J77" s="22" t="n">
        <x:v>347.546</x:v>
      </x:c>
      <x:c r="K77" s="33" t="n">
        <x:v>7.2968</x:v>
      </x:c>
      <x:c r="L77" s="22" t="n">
        <x:v>410.34</x:v>
      </x:c>
      <x:c r="M77" s="20" t="str">
        <x:v>Macro-series cells reserved for validated monthly observations; source IDs are in Source Register.</x:v>
      </x:c>
      <x:c r="N77" s="64" t="n">
        <x:v>1582</x:v>
      </x:c>
      <x:c r="O77" s="23" t="n">
        <x:v>0.12678062678062685</x:v>
      </x:c>
      <x:c r="P77" s="40" t="n">
        <x:v>135.11165717349806</x:v>
      </x:c>
      <x:c r="Q77" s="20"/>
      <x:c r="R77" s="20"/>
      <x:c r="S77" s="20"/>
      <x:c r="T77" s="20"/>
      <x:c r="U77" s="20"/>
      <x:c r="V77" s="20"/>
      <x:c r="W77" s="20"/>
      <x:c r="X77" s="20"/>
      <x:c r="Y77" s="20"/>
      <x:c r="Z77" s="20"/>
    </x:row>
    <x:row r="78">
      <x:c r="A78" s="21" t="n">
        <x:v>45778</x:v>
      </x:c>
      <x:c r="B78" s="28" t="n">
        <x:v>24.99</x:v>
      </x:c>
      <x:c r="C78" s="20" t="str">
        <x:v>Validated analytical breakpoint</x:v>
      </x:c>
      <x:c r="D78" s="22" t="n">
        <x:v>270.092</x:v>
      </x:c>
      <x:c r="E78" s="22" t="n">
        <x:v>238.58</x:v>
      </x:c>
      <x:c r="F78" s="22" t="n">
        <x:v>406.07</x:v>
      </x:c>
      <x:c r="G78" s="22" t="n">
        <x:v>266.843</x:v>
      </x:c>
      <x:c r="H78" s="22" t="n">
        <x:v>373.008</x:v>
      </x:c>
      <x:c r="I78" s="22" t="n">
        <x:v>165.315</x:v>
      </x:c>
      <x:c r="J78" s="22" t="n">
        <x:v>352.68</x:v>
      </x:c>
      <x:c r="K78" s="33" t="n">
        <x:v>7.2166</x:v>
      </x:c>
      <x:c r="L78" s="22" t="n">
        <x:v>399.524</x:v>
      </x:c>
      <x:c r="M78" s="20" t="str">
        <x:v>Macro-series cells reserved for validated monthly observations; source IDs are in Source Register.</x:v>
      </x:c>
      <x:c r="N78" s="64" t="n">
        <x:v>1723</x:v>
      </x:c>
      <x:c r="O78" s="23" t="n">
        <x:v>0.16892808683853455</x:v>
      </x:c>
      <x:c r="P78" s="40" t="n">
        <x:v>135.88870956906</x:v>
      </x:c>
      <x:c r="Q78" s="20"/>
      <x:c r="R78" s="20"/>
      <x:c r="S78" s="20"/>
      <x:c r="T78" s="20"/>
      <x:c r="U78" s="20"/>
      <x:c r="V78" s="20"/>
      <x:c r="W78" s="20"/>
      <x:c r="X78" s="20"/>
      <x:c r="Y78" s="20"/>
      <x:c r="Z78" s="20"/>
    </x:row>
    <x:row r="79">
      <x:c r="A79" s="21" t="n">
        <x:v>45809</x:v>
      </x:c>
      <x:c r="B79" s="28" t="n">
        <x:v>24.99</x:v>
      </x:c>
      <x:c r="C79" s="20" t="str">
        <x:v>Validated analytical breakpoint</x:v>
      </x:c>
      <x:c r="D79" s="22" t="n">
        <x:v>266.301</x:v>
      </x:c>
      <x:c r="E79" s="22" t="n">
        <x:v>238.889</x:v>
      </x:c>
      <x:c r="F79" s="22" t="n">
        <x:v>405.597</x:v>
      </x:c>
      <x:c r="G79" s="22" t="n">
        <x:v>267.166</x:v>
      </x:c>
      <x:c r="H79" s="22" t="n">
        <x:v>374.8</x:v>
      </x:c>
      <x:c r="I79" s="22" t="n">
        <x:v>164.948</x:v>
      </x:c>
      <x:c r="J79" s="22" t="n">
        <x:v>354.318</x:v>
      </x:c>
      <x:c r="K79" s="33" t="n">
        <x:v>7.1804</x:v>
      </x:c>
      <x:c r="L79" s="22" t="n">
        <x:v>404.766</x:v>
      </x:c>
      <x:c r="M79" s="20" t="str">
        <x:v>Macro-series cells reserved for validated monthly observations; source IDs are in Source Register.</x:v>
      </x:c>
      <x:c r="N79" s="64" t="n">
        <x:v>1641</x:v>
      </x:c>
      <x:c r="O79" s="23" t="n">
        <x:v>0.15482054890921892</x:v>
      </x:c>
      <x:c r="P79" s="40" t="n">
        <x:v>136.16272488797685</x:v>
      </x:c>
      <x:c r="Q79" s="20"/>
      <x:c r="R79" s="20"/>
      <x:c r="S79" s="20"/>
      <x:c r="T79" s="20"/>
      <x:c r="U79" s="20"/>
      <x:c r="V79" s="20"/>
      <x:c r="W79" s="20"/>
      <x:c r="X79" s="20"/>
      <x:c r="Y79" s="20"/>
      <x:c r="Z79" s="20"/>
    </x:row>
    <x:row r="80">
      <x:c r="A80" s="21" t="n">
        <x:v>45839</x:v>
      </x:c>
      <x:c r="B80" s="28" t="n">
        <x:v>24.99</x:v>
      </x:c>
      <x:c r="C80" s="20" t="str">
        <x:v>Validated analytical breakpoint</x:v>
      </x:c>
      <x:c r="D80" s="22" t="n">
        <x:v>266.379</x:v>
      </x:c>
      <x:c r="E80" s="22" t="n">
        <x:v>242.55</x:v>
      </x:c>
      <x:c r="F80" s="22" t="n">
        <x:v>405.781</x:v>
      </x:c>
      <x:c r="G80" s="22" t="n">
        <x:v>267.616</x:v>
      </x:c>
      <x:c r="H80" s="22" t="n">
        <x:v>373.945</x:v>
      </x:c>
      <x:c r="I80" s="22" t="n">
        <x:v>165.371</x:v>
      </x:c>
      <x:c r="J80" s="22" t="n">
        <x:v>356.015</x:v>
      </x:c>
      <x:c r="K80" s="33" t="n">
        <x:v>7.1741</x:v>
      </x:c>
      <x:c r="L80" s="22" t="n">
        <x:v>392.604</x:v>
      </x:c>
      <x:c r="M80" s="20" t="str">
        <x:v>Macro-series cells reserved for validated monthly observations; source IDs are in Source Register.</x:v>
      </x:c>
      <x:c r="N80" s="64" t="n">
        <x:v>1718</x:v>
      </x:c>
      <x:c r="O80" s="23" t="n">
        <x:v>0.18892733564013842</x:v>
      </x:c>
      <x:c r="P80" s="40" t="n">
        <x:v>136.3866001937686</x:v>
      </x:c>
      <x:c r="Q80" s="20"/>
      <x:c r="R80" s="20"/>
      <x:c r="S80" s="20"/>
      <x:c r="T80" s="20"/>
      <x:c r="U80" s="20"/>
      <x:c r="V80" s="20"/>
      <x:c r="W80" s="20"/>
      <x:c r="X80" s="20"/>
      <x:c r="Y80" s="20"/>
      <x:c r="Z80" s="20"/>
    </x:row>
    <x:row r="81">
      <x:c r="A81" s="21" t="n">
        <x:v>45870</x:v>
      </x:c>
      <x:c r="B81" s="28" t="n">
        <x:v>24.99</x:v>
      </x:c>
      <x:c r="C81" s="20" t="str">
        <x:v>Validated analytical breakpoint</x:v>
      </x:c>
      <x:c r="D81" s="22" t="n">
        <x:v>263.885</x:v>
      </x:c>
      <x:c r="E81" s="22" t="n">
        <x:v>243.507</x:v>
      </x:c>
      <x:c r="F81" s="22" t="n">
        <x:v>417.096</x:v>
      </x:c>
      <x:c r="G81" s="22" t="n">
        <x:v>267.64</x:v>
      </x:c>
      <x:c r="H81" s="22" t="n">
        <x:v>374.048</x:v>
      </x:c>
      <x:c r="I81" s="22" t="n">
        <x:v>165.492</x:v>
      </x:c>
      <x:c r="J81" s="22" t="n">
        <x:v>357.363</x:v>
      </x:c>
      <x:c r="K81" s="33" t="n">
        <x:v>7.1727</x:v>
      </x:c>
      <x:c r="L81" s="22" t="n">
        <x:v>392.827</x:v>
      </x:c>
      <x:c r="M81" s="20" t="str">
        <x:v>Macro-series cells reserved for validated monthly observations; source IDs are in Source Register.</x:v>
      </x:c>
      <x:c r="N81" s="64" t="n">
        <x:v>1919</x:v>
      </x:c>
      <x:c r="O81" s="23" t="n">
        <x:v>0.18823529411764706</x:v>
      </x:c>
      <x:c r="P81" s="40" t="n">
        <x:v>136.5507251137379</x:v>
      </x:c>
      <x:c r="Q81" s="20"/>
      <x:c r="R81" s="20"/>
      <x:c r="S81" s="20"/>
      <x:c r="T81" s="20"/>
      <x:c r="U81" s="20"/>
      <x:c r="V81" s="20"/>
      <x:c r="W81" s="20"/>
      <x:c r="X81" s="20"/>
      <x:c r="Y81" s="20"/>
      <x:c r="Z81" s="20"/>
    </x:row>
    <x:row r="82">
      <x:c r="A82" s="21" t="n">
        <x:v>45901</x:v>
      </x:c>
      <x:c r="B82" s="28" t="n">
        <x:v>27.99</x:v>
      </x:c>
      <x:c r="C82" s="20" t="str">
        <x:v>Validated retail regime</x:v>
      </x:c>
      <x:c r="D82" s="22" t="n">
        <x:v>260.671</x:v>
      </x:c>
      <x:c r="E82" s="22" t="n">
        <x:v>243.507</x:v>
      </x:c>
      <x:c r="F82" s="22" t="n">
        <x:v>413.265</x:v>
      </x:c>
      <x:c r="G82" s="22" t="n">
        <x:v>268.091</x:v>
      </x:c>
      <x:c r="H82" s="22" t="n">
        <x:v>376.731</x:v>
      </x:c>
      <x:c r="I82" s="22" t="n">
        <x:v>165.577</x:v>
      </x:c>
      <x:c r="J82" s="22" t="n">
        <x:v>357.173</x:v>
      </x:c>
      <x:c r="K82" s="33" t="n">
        <x:v>7.1235</x:v>
      </x:c>
      <x:c r="L82" s="22" t="n">
        <x:v>390.95</x:v>
      </x:c>
      <x:c r="M82" s="20" t="str">
        <x:v>Macro-series cells reserved for validated monthly observations; source IDs are in Source Register.</x:v>
      </x:c>
      <x:c r="N82" s="64" t="n">
        <x:v>1958</x:v>
      </x:c>
      <x:c r="O82" s="23" t="n">
        <x:v>0.22835633626097862</x:v>
      </x:c>
      <x:c r="P82" s="40" t="n">
        <x:v>136.85694544642948</x:v>
      </x:c>
      <x:c r="Q82" s="20"/>
      <x:c r="R82" s="20"/>
      <x:c r="S82" s="20"/>
      <x:c r="T82" s="20"/>
      <x:c r="U82" s="20"/>
      <x:c r="V82" s="20"/>
      <x:c r="W82" s="20"/>
      <x:c r="X82" s="20"/>
      <x:c r="Y82" s="20"/>
      <x:c r="Z82" s="20"/>
    </x:row>
    <x:row r="83">
      <x:c r="A83" s="21" t="n">
        <x:v>45931</x:v>
      </x:c>
      <x:c r="B83" s="28" t="n">
        <x:v>27.99</x:v>
      </x:c>
      <x:c r="C83" s="20" t="str">
        <x:v>Validated retail regime</x:v>
      </x:c>
      <x:c r="D83" s="22" t="n">
        <x:v>260.388</x:v>
      </x:c>
      <x:c r="E83" s="22" t="n">
        <x:v>244.345</x:v>
      </x:c>
      <x:c r="F83" s="22" t="n">
        <x:v>415.059</x:v>
      </x:c>
      <x:c r="G83" s="22" t="n">
        <x:v>268.177</x:v>
      </x:c>
      <x:c r="H83" s="22" t="n">
        <x:v>377.15</x:v>
      </x:c>
      <x:c r="I83" s="22" t="n">
        <x:v>163.036</x:v>
      </x:c>
      <x:c r="J83" s="22" t="n">
        <x:v>357.144</x:v>
      </x:c>
      <x:c r="K83" s="33" t="n">
        <x:v>7.12</x:v>
      </x:c>
      <x:c r="L83" s="22" t="n">
        <x:v>420.696</x:v>
      </x:c>
      <x:c r="M83" s="20" t="str">
        <x:v>Macro-series cells reserved for validated monthly observations; source IDs are in Source Register.</x:v>
      </x:c>
      <x:c r="N83" s="64" t="n">
        <x:v>2189</x:v>
      </x:c>
      <x:c r="O83" s="23" t="n">
        <x:v>0.22358859698155387</x:v>
      </x:c>
      <x:c r="P83" s="40" t="n">
        <x:v>136.32926612462566</x:v>
      </x:c>
      <x:c r="Q83" s="20"/>
      <x:c r="R83" s="20"/>
      <x:c r="S83" s="20"/>
      <x:c r="T83" s="20"/>
      <x:c r="U83" s="20"/>
      <x:c r="V83" s="20"/>
      <x:c r="W83" s="20"/>
      <x:c r="X83" s="20"/>
      <x:c r="Y83" s="20"/>
      <x:c r="Z83" s="20"/>
    </x:row>
    <x:row r="84">
      <x:c r="A84" s="21" t="n">
        <x:v>45962</x:v>
      </x:c>
      <x:c r="B84" s="28" t="n">
        <x:v>27.99</x:v>
      </x:c>
      <x:c r="C84" s="20" t="str">
        <x:v>Validated retail regime</x:v>
      </x:c>
      <x:c r="D84" s="22" t="n">
        <x:v>258.016</x:v>
      </x:c>
      <x:c r="E84" s="22" t="n">
        <x:v>244.345</x:v>
      </x:c>
      <x:c r="F84" s="22" t="n">
        <x:v>417.633</x:v>
      </x:c>
      <x:c r="G84" s="22" t="n">
        <x:v>267.961</x:v>
      </x:c>
      <x:c r="H84" s="22" t="n">
        <x:v>376.375</x:v>
      </x:c>
      <x:c r="I84" s="22" t="n">
        <x:v>163.612</x:v>
      </x:c>
      <x:c r="J84" s="22" t="n">
        <x:v>357.144</x:v>
      </x:c>
      <x:c r="K84" s="33" t="n">
        <x:v>7.1069</x:v>
      </x:c>
      <x:c r="L84" s="22" t="n">
        <x:v>402.725</x:v>
      </x:c>
      <x:c r="M84" s="20" t="str">
        <x:v>Macro-series cells reserved for validated monthly observations; source IDs are in Source Register.</x:v>
      </x:c>
      <x:c r="N84" s="64" t="n">
        <x:v>3127</x:v>
      </x:c>
      <x:c r="O84" s="23" t="n">
        <x:v>0.128066378066378</x:v>
      </x:c>
      <x:c r="P84" s="40" t="n">
        <x:v>136.36156453012046</x:v>
      </x:c>
      <x:c r="Q84" s="20"/>
      <x:c r="R84" s="20"/>
      <x:c r="S84" s="20"/>
      <x:c r="T84" s="20"/>
      <x:c r="U84" s="20"/>
      <x:c r="V84" s="20"/>
      <x:c r="W84" s="20"/>
      <x:c r="X84" s="20"/>
      <x:c r="Y84" s="20"/>
      <x:c r="Z84" s="20"/>
    </x:row>
    <x:row r="85">
      <x:c r="A85" s="21" t="n">
        <x:v>45992</x:v>
      </x:c>
      <x:c r="B85" s="28" t="n">
        <x:v>27.99</x:v>
      </x:c>
      <x:c r="C85" s="20" t="str">
        <x:v>Validated retail regime</x:v>
      </x:c>
      <x:c r="D85" s="22" t="n">
        <x:v>253.737</x:v>
      </x:c>
      <x:c r="E85" s="22" t="n">
        <x:v>246.739</x:v>
      </x:c>
      <x:c r="F85" s="22" t="n">
        <x:v>420.077</x:v>
      </x:c>
      <x:c r="G85" s="22" t="n">
        <x:v>267.951</x:v>
      </x:c>
      <x:c r="H85" s="22" t="n">
        <x:v>376.674</x:v>
      </x:c>
      <x:c r="I85" s="22" t="n">
        <x:v>163.933</x:v>
      </x:c>
      <x:c r="J85" s="22" t="n">
        <x:v>357.141</x:v>
      </x:c>
      <x:c r="K85" s="33" t="n">
        <x:v>7.0432</x:v>
      </x:c>
      <x:c r="L85" s="22" t="n">
        <x:v>415.302</x:v>
      </x:c>
      <x:c r="M85" s="20" t="str">
        <x:v>Macro-series cells reserved for validated monthly observations; source IDs are in Source Register.</x:v>
      </x:c>
      <x:c r="N85" s="64" t="n">
        <x:v>3318</x:v>
      </x:c>
      <x:c r="O85" s="23" t="n">
        <x:v>0.16176470588235303</x:v>
      </x:c>
      <x:c r="P85" s="40" t="n">
        <x:v>136.46079970483578</x:v>
      </x:c>
      <x:c r="Q85" s="20"/>
      <x:c r="R85" s="20"/>
      <x:c r="S85" s="20"/>
      <x:c r="T85" s="20"/>
      <x:c r="U85" s="20"/>
      <x:c r="V85" s="20"/>
      <x:c r="W85" s="20"/>
      <x:c r="X85" s="20"/>
      <x:c r="Y85" s="20"/>
      <x:c r="Z85" s="20"/>
    </x:row>
    <x:row r="86">
      <x:c r="A86" s="21" t="n">
        <x:v>46023</x:v>
      </x:c>
      <x:c r="B86" s="28" t="n">
        <x:v>27.99</x:v>
      </x:c>
      <x:c r="C86" s="20" t="str">
        <x:v>Validated retail regime</x:v>
      </x:c>
      <x:c r="D86" s="22" t="n">
        <x:v>254.169</x:v>
      </x:c>
      <x:c r="E86" s="22" t="n">
        <x:v>248.092</x:v>
      </x:c>
      <x:c r="F86" s="22" t="n">
        <x:v>422.867</x:v>
      </x:c>
      <x:c r="G86" s="22" t="n">
        <x:v>268.695</x:v>
      </x:c>
      <x:c r="H86" s="22" t="n">
        <x:v>378.367</x:v>
      </x:c>
      <x:c r="I86" s="22" t="n">
        <x:v>164.264</x:v>
      </x:c>
      <x:c r="J86" s="22" t="n">
        <x:v>357.238</x:v>
      </x:c>
      <x:c r="K86" s="33" t="n">
        <x:v>6.9692</x:v>
      </x:c>
      <x:c r="L86" s="22" t="n">
        <x:v>445.272</x:v>
      </x:c>
      <x:c r="M86" s="20" t="str">
        <x:v>Macro-series cells reserved for validated monthly observations; source IDs are in Source Register.</x:v>
      </x:c>
      <x:c r="N86" s="64" t="n">
        <x:v>1850</x:v>
      </x:c>
      <x:c r="O86" s="23" t="n">
        <x:v>0.21630506245890868</x:v>
      </x:c>
      <x:c r="P86" s="40" t="n">
        <x:v>136.789971170056</x:v>
      </x:c>
      <x:c r="Q86" s="20"/>
      <x:c r="R86" s="20"/>
      <x:c r="S86" s="20"/>
      <x:c r="T86" s="20"/>
      <x:c r="U86" s="20"/>
      <x:c r="V86" s="20"/>
      <x:c r="W86" s="20"/>
      <x:c r="X86" s="20"/>
      <x:c r="Y86" s="20"/>
      <x:c r="Z86" s="20"/>
    </x:row>
    <x:row r="87">
      <x:c r="A87" s="21" t="n">
        <x:v>46054</x:v>
      </x:c>
      <x:c r="B87" s="28" t="n">
        <x:v>27.99</x:v>
      </x:c>
      <x:c r="C87" s="20" t="str">
        <x:v>Validated retail regime</x:v>
      </x:c>
      <x:c r="D87" s="22" t="n">
        <x:v>260.673</x:v>
      </x:c>
      <x:c r="E87" s="22" t="n">
        <x:v>248.448</x:v>
      </x:c>
      <x:c r="F87" s="22" t="n">
        <x:v>420.049</x:v>
      </x:c>
      <x:c r="G87" s="22" t="n">
        <x:v>268.735</x:v>
      </x:c>
      <x:c r="H87" s="22" t="n">
        <x:v>377.834</x:v>
      </x:c>
      <x:c r="I87" s="22" t="n">
        <x:v>156.848</x:v>
      </x:c>
      <x:c r="J87" s="22" t="n">
        <x:v>357.459</x:v>
      </x:c>
      <x:c r="K87" s="33" t="n">
        <x:v>6.9064</x:v>
      </x:c>
      <x:c r="L87" s="22" t="n">
        <x:v>441.81</x:v>
      </x:c>
      <x:c r="M87" s="20" t="str">
        <x:v>Macro-series cells reserved for validated monthly observations; source IDs are in Source Register.</x:v>
      </x:c>
      <x:c r="N87" s="64" t="n">
        <x:v>1838</x:v>
      </x:c>
      <x:c r="O87" s="23" t="n">
        <x:v>0.28621413575927224</x:v>
      </x:c>
      <x:c r="P87" s="40" t="n">
        <x:v>135.08856331716217</x:v>
      </x:c>
      <x:c r="Q87" s="20"/>
      <x:c r="R87" s="20"/>
      <x:c r="S87" s="20"/>
      <x:c r="T87" s="20"/>
      <x:c r="U87" s="20"/>
      <x:c r="V87" s="20"/>
      <x:c r="W87" s="20"/>
      <x:c r="X87" s="20"/>
      <x:c r="Y87" s="20"/>
      <x:c r="Z87" s="20"/>
    </x:row>
    <x:row r="88">
      <x:c r="A88" s="21" t="n">
        <x:v>46082</x:v>
      </x:c>
      <x:c r="B88" s="28" t="n">
        <x:v>27.99</x:v>
      </x:c>
      <x:c r="C88" s="20" t="str">
        <x:v>Validated retail regime</x:v>
      </x:c>
      <x:c r="D88" s="22" t="n">
        <x:v>266.682</x:v>
      </x:c>
      <x:c r="E88" s="22" t="n">
        <x:v>251.905</x:v>
      </x:c>
      <x:c r="F88" s="22" t="n">
        <x:v>419.273</x:v>
      </x:c>
      <x:c r="G88" s="22" t="n">
        <x:v>268.92</x:v>
      </x:c>
      <x:c r="H88" s="22" t="n">
        <x:v>379.478</x:v>
      </x:c>
      <x:c r="I88" s="22" t="n">
        <x:v>157.041</x:v>
      </x:c>
      <x:c r="J88" s="22" t="n">
        <x:v>356.679</x:v>
      </x:c>
      <x:c r="K88" s="33" t="n">
        <x:v>6.8921</x:v>
      </x:c>
      <x:c r="L88" s="22" t="n">
        <x:v>451.353</x:v>
      </x:c>
      <x:c r="M88" s="20" t="str">
        <x:v>Macro-series cells reserved for validated monthly observations; source IDs are in Source Register.</x:v>
      </x:c>
      <x:c r="N88" s="64" t="n">
        <x:v>2038</x:v>
      </x:c>
      <x:c r="O88" s="23" t="n">
        <x:v>0.19042056074766345</x:v>
      </x:c>
      <x:c r="P88" s="40" t="n">
        <x:v>135.23627102218268</x:v>
      </x:c>
      <x:c r="Q88" s="20"/>
      <x:c r="R88" s="20"/>
      <x:c r="S88" s="20"/>
      <x:c r="T88" s="20"/>
      <x:c r="U88" s="20"/>
      <x:c r="V88" s="20"/>
      <x:c r="W88" s="20"/>
      <x:c r="X88" s="20"/>
      <x:c r="Y88" s="20"/>
      <x:c r="Z88" s="20"/>
    </x:row>
    <x:row r="89">
      <x:c r="A89" s="21" t="n">
        <x:v>46113</x:v>
      </x:c>
      <x:c r="B89" s="28" t="n">
        <x:v>27.99</x:v>
      </x:c>
      <x:c r="C89" s="20" t="str">
        <x:v>Validated retail regime</x:v>
      </x:c>
      <x:c r="D89" s="22" t="n">
        <x:v>281.892</x:v>
      </x:c>
      <x:c r="E89" s="22" t="n">
        <x:v>252.229</x:v>
      </x:c>
      <x:c r="F89" s="22" t="n">
        <x:v>420.95</x:v>
      </x:c>
      <x:c r="G89" s="22" t="n">
        <x:v>268.815</x:v>
      </x:c>
      <x:c r="H89" s="22" t="n">
        <x:v>382.603</x:v>
      </x:c>
      <x:c r="I89" s="22" t="n">
        <x:v>156.983</x:v>
      </x:c>
      <x:c r="J89" s="22" t="n">
        <x:v>356.087</x:v>
      </x:c>
      <x:c r="K89" s="33" t="n">
        <x:v>6.8371</x:v>
      </x:c>
      <x:c r="L89" s="22" t="n">
        <x:v>462.08</x:v>
      </x:c>
      <x:c r="M89" s="20" t="str">
        <x:v>Macro-series cells reserved for validated monthly observations; source IDs are in Source Register.</x:v>
      </x:c>
      <x:c r="N89" s="64" t="n">
        <x:v>1911</x:v>
      </x:c>
      <x:c r="O89" s="23" t="n">
        <x:v>0.2079646017699115</x:v>
      </x:c>
      <x:c r="P89" s="40" t="n">
        <x:v>135.45021209703756</x:v>
      </x:c>
      <x:c r="Q89" s="20"/>
      <x:c r="R89" s="20"/>
      <x:c r="S89" s="20"/>
      <x:c r="T89" s="20"/>
      <x:c r="U89" s="20"/>
      <x:c r="V89" s="20"/>
      <x:c r="W89" s="20"/>
      <x:c r="X89" s="20"/>
      <x:c r="Y89" s="20"/>
      <x:c r="Z89" s="20"/>
    </x:row>
    <x:row r="90">
      <x:c r="A90" s="21" t="n">
        <x:v>46143</x:v>
      </x:c>
      <x:c r="B90" s="28" t="n">
        <x:v>27.99</x:v>
      </x:c>
      <x:c r="C90" s="20" t="str">
        <x:v>Validated retail regime</x:v>
      </x:c>
      <x:c r="D90" s="22" t="n">
        <x:v>313.436</x:v>
      </x:c>
      <x:c r="E90" s="22" t="n">
        <x:v>252.229</x:v>
      </x:c>
      <x:c r="F90" s="22" t="n">
        <x:v>424.388</x:v>
      </x:c>
      <x:c r="G90" s="22" t="n">
        <x:v>277.002</x:v>
      </x:c>
      <x:c r="H90" s="22" t="n">
        <x:v>388.545</x:v>
      </x:c>
      <x:c r="I90" s="22" t="n">
        <x:v>155.084</x:v>
      </x:c>
      <x:c r="J90" s="22" t="n">
        <x:v>365.875</x:v>
      </x:c>
      <x:c r="K90" s="33" t="n">
        <x:v>6.7996</x:v>
      </x:c>
      <x:c r="L90" s="22" t="n">
        <x:v>475.059</x:v>
      </x:c>
      <x:c r="M90" s="20" t="str">
        <x:v>Macro-series cells reserved for validated monthly observations; source IDs are in Source Register.</x:v>
      </x:c>
      <x:c r="N90" s="64" t="n">
        <x:v>2124</x:v>
      </x:c>
      <x:c r="O90" s="23" t="n">
        <x:v>0.232733604178758</x:v>
      </x:c>
      <x:c r="P90" s="40" t="n">
        <x:v>137.43113752487648</x:v>
      </x:c>
      <x:c r="Q90" s="20"/>
      <x:c r="R90" s="20"/>
      <x:c r="S90" s="20"/>
      <x:c r="T90" s="20"/>
      <x:c r="U90" s="20"/>
      <x:c r="V90" s="20"/>
      <x:c r="W90" s="20"/>
      <x:c r="X90" s="20"/>
      <x:c r="Y90" s="20"/>
      <x:c r="Z90" s="20"/>
    </x:row>
    <x:row r="91">
      <x:c r="A91" s="21" t="n">
        <x:v>46174</x:v>
      </x:c>
      <x:c r="B91" s="28" t="n">
        <x:v>27.99</x:v>
      </x:c>
      <x:c r="C91" s="20" t="str">
        <x:v>Validated retail regime</x:v>
      </x:c>
      <x:c r="D91" s="22" t="n">
        <x:v>301.288</x:v>
      </x:c>
      <x:c r="E91" s="22" t="n">
        <x:v>255.432</x:v>
      </x:c>
      <x:c r="F91" s="22" t="n">
        <x:v>425.186</x:v>
      </x:c>
      <x:c r="G91" s="22" t="n">
        <x:v>277.002</x:v>
      </x:c>
      <x:c r="H91" s="22" t="n">
        <x:v>392.233</x:v>
      </x:c>
      <x:c r="I91" s="22" t="n">
        <x:v>155.833</x:v>
      </x:c>
      <x:c r="J91" s="22" t="n">
        <x:v>371.126</x:v>
      </x:c>
      <x:c r="K91" s="33" t="n">
        <x:v>6.7758</x:v>
      </x:c>
      <x:c r="L91" s="22" t="n">
        <x:v>504.328</x:v>
      </x:c>
      <x:c r="M91" s="20" t="str">
        <x:v>Macro-series cells reserved for validated monthly observations; source IDs are in Source Register.</x:v>
      </x:c>
      <x:c r="N91" s="64" t="n">
        <x:v>2031</x:v>
      </x:c>
      <x:c r="O91" s="23" t="n">
        <x:v>0.23765996343692875</x:v>
      </x:c>
      <x:c r="P91" s="40" t="n">
        <x:v>138.43141913077756</x:v>
      </x:c>
      <x:c r="Q91" s="20"/>
      <x:c r="R91" s="20"/>
      <x:c r="S91" s="20"/>
      <x:c r="T91" s="20"/>
      <x:c r="U91" s="20"/>
      <x:c r="V91" s="20"/>
      <x:c r="W91" s="20"/>
      <x:c r="X91" s="20"/>
      <x:c r="Y91" s="20"/>
      <x:c r="Z91" s="20"/>
    </x:row>
    <x:row r="92">
      <x:c r="A92" s="21" t="n">
        <x:v>46204</x:v>
      </x:c>
      <x:c r="B92" s="28" t="n">
        <x:v>27.99</x:v>
      </x:c>
      <x:c r="C92" s="20" t="str">
        <x:v>Validated retail regime</x:v>
      </x:c>
      <x:c r="D92" s="22" t="n">
        <x:v>285.58</x:v>
      </x:c>
      <x:c r="E92" s="22" t="n">
        <x:v>255.432</x:v>
      </x:c>
      <x:c r="F92" s="22" t="n">
        <x:v>425.69</x:v>
      </x:c>
      <x:c r="G92" s="22" t="n">
        <x:v>277.002</x:v>
      </x:c>
      <x:c r="H92" s="22" t="n">
        <x:v>393.45</x:v>
      </x:c>
      <x:c r="I92" s="22" t="n">
        <x:v>157.364</x:v>
      </x:c>
      <x:c r="J92" s="22" t="n">
        <x:v>378.115</x:v>
      </x:c>
      <x:c r="K92" s="33" t="n">
        <x:v>6.7757</x:v>
      </x:c>
      <x:c r="L92" s="22" t="n">
        <x:v>521.184</x:v>
      </x:c>
      <x:c r="M92" s="20" t="str">
        <x:v>Macro-series cells reserved for validated monthly observations; source IDs are in Source Register.</x:v>
      </x:c>
      <x:c r="N92" s="64" t="n">
        <x:v>2148</x:v>
      </x:c>
      <x:c r="O92" s="23" t="n">
        <x:v>0.2502910360884749</x:v>
      </x:c>
      <x:c r="P92" s="40" t="n">
        <x:v>139.5364126269694</x:v>
      </x:c>
      <x:c r="Q92" s="20"/>
      <x:c r="R92" s="20"/>
      <x:c r="S92" s="20"/>
      <x:c r="T92" s="20"/>
      <x:c r="U92" s="20"/>
      <x:c r="V92" s="20"/>
      <x:c r="W92" s="20"/>
      <x:c r="X92" s="20"/>
      <x:c r="Y92" s="20"/>
      <x:c r="Z92" s="20"/>
    </x:row>
    <x:row r="93">
      <x:c r="A93" s="21" t="n">
        <x:v>46235</x:v>
      </x:c>
      <x:c r="B93" s="28" t="n">
        <x:v>27.99</x:v>
      </x:c>
      <x:c r="C93" s="20" t="str">
        <x:v>Validated retail regime</x:v>
      </x:c>
      <x:c r="D93" s="22" t="n">
        <x:v>283.105</x:v>
      </x:c>
      <x:c r="E93" s="22" t="n">
        <x:v>255.432</x:v>
      </x:c>
      <x:c r="F93" s="22" t="n">
        <x:v>430.779</x:v>
      </x:c>
      <x:c r="G93" s="22" t="n">
        <x:v>277.74</x:v>
      </x:c>
      <x:c r="H93" s="22" t="n">
        <x:v>397.255</x:v>
      </x:c>
      <x:c r="I93" s="22" t="n">
        <x:v>157.934</x:v>
      </x:c>
      <x:c r="J93" s="22" t="n">
        <x:v>386.359</x:v>
      </x:c>
      <x:c r="K93" s="33" t="n">
        <x:v>6.7361</x:v>
      </x:c>
      <x:c r="L93" s="22" t="n">
        <x:v>518.617</x:v>
      </x:c>
      <x:c r="M93" s="20" t="str">
        <x:v>Macro-series cells reserved for validated monthly observations; source IDs are in Source Register.</x:v>
      </x:c>
      <x:c r="N93" s="64"/>
      <x:c r="O93" s="23"/>
      <x:c r="P93" s="40" t="n">
        <x:v>140.86877411786537</x:v>
      </x:c>
      <x:c r="Q93" s="20"/>
      <x:c r="R93" s="20"/>
      <x:c r="S93" s="20"/>
      <x:c r="T93" s="20"/>
      <x:c r="U93" s="20"/>
      <x:c r="V93" s="20"/>
      <x:c r="W93" s="20"/>
      <x:c r="X93" s="20"/>
      <x:c r="Y93" s="20"/>
      <x:c r="Z93" s="20"/>
    </x:row>
    <x:row r="94">
      <x:c r="A94" s="20"/>
      <x:c r="B94" s="20"/>
      <x:c r="C94" s="20"/>
      <x:c r="D94" s="20"/>
      <x:c r="E94" s="20"/>
      <x:c r="F94" s="20"/>
      <x:c r="G94" s="20"/>
      <x:c r="H94" s="20"/>
      <x:c r="I94" s="20"/>
      <x:c r="J94" s="20"/>
      <x:c r="K94" s="20"/>
      <x:c r="L94" s="20"/>
      <x:c r="M94" s="20"/>
      <x:c r="N94" s="20"/>
      <x:c r="O94" s="20"/>
      <x:c r="P94" s="20"/>
      <x:c r="Q94" s="20"/>
      <x:c r="R94" s="20"/>
      <x:c r="S94" s="20"/>
      <x:c r="T94" s="20"/>
      <x:c r="U94" s="20"/>
      <x:c r="V94" s="20"/>
      <x:c r="W94" s="20"/>
      <x:c r="X94" s="20"/>
      <x:c r="Y94" s="20"/>
      <x:c r="Z94" s="20"/>
    </x:row>
    <x:row r="95">
      <x:c r="A95" s="20"/>
      <x:c r="B95" s="20"/>
      <x:c r="C95" s="20"/>
      <x:c r="D95" s="20"/>
      <x:c r="E95" s="20"/>
      <x:c r="F95" s="20"/>
      <x:c r="G95" s="20"/>
      <x:c r="H95" s="20"/>
      <x:c r="I95" s="20"/>
      <x:c r="J95" s="20"/>
      <x:c r="K95" s="20"/>
      <x:c r="L95" s="20"/>
      <x:c r="M95" s="20"/>
      <x:c r="N95" s="20"/>
      <x:c r="O95" s="20"/>
      <x:c r="P95" s="20"/>
      <x:c r="Q95" s="20"/>
      <x:c r="R95" s="20"/>
      <x:c r="S95" s="20"/>
      <x:c r="T95" s="20"/>
      <x:c r="U95" s="20"/>
      <x:c r="V95" s="20"/>
      <x:c r="W95" s="20"/>
      <x:c r="X95" s="20"/>
      <x:c r="Y95" s="20"/>
      <x:c r="Z95" s="20"/>
    </x:row>
    <x:row r="96">
      <x:c r="A96" s="20"/>
      <x:c r="B96" s="20"/>
      <x:c r="C96" s="20"/>
      <x:c r="D96" s="20"/>
      <x:c r="E96" s="20"/>
      <x:c r="F96" s="20"/>
      <x:c r="G96" s="20"/>
      <x:c r="H96" s="20"/>
      <x:c r="I96" s="20"/>
      <x:c r="J96" s="20"/>
      <x:c r="K96" s="20"/>
      <x:c r="L96" s="20"/>
      <x:c r="M96" s="20"/>
      <x:c r="N96" s="20"/>
      <x:c r="O96" s="20"/>
      <x:c r="P96" s="20"/>
      <x:c r="Q96" s="20"/>
      <x:c r="R96" s="20"/>
      <x:c r="S96" s="20"/>
      <x:c r="T96" s="20"/>
      <x:c r="U96" s="20"/>
      <x:c r="V96" s="20"/>
      <x:c r="W96" s="20"/>
      <x:c r="X96" s="20"/>
      <x:c r="Y96" s="20"/>
      <x:c r="Z96" s="20"/>
    </x:row>
    <x:row r="97">
      <x:c r="A97" s="20"/>
      <x:c r="B97" s="20"/>
      <x:c r="C97" s="20"/>
      <x:c r="D97" s="20"/>
      <x:c r="E97" s="20"/>
      <x:c r="F97" s="20"/>
      <x:c r="G97" s="20"/>
      <x:c r="H97" s="20"/>
      <x:c r="I97" s="20"/>
      <x:c r="J97" s="20"/>
      <x:c r="K97" s="20"/>
      <x:c r="L97" s="20"/>
      <x:c r="M97" s="20"/>
      <x:c r="N97" s="20"/>
      <x:c r="O97" s="20"/>
      <x:c r="P97" s="20"/>
      <x:c r="Q97" s="20"/>
      <x:c r="R97" s="20"/>
      <x:c r="S97" s="20"/>
      <x:c r="T97" s="20"/>
      <x:c r="U97" s="20"/>
      <x:c r="V97" s="20"/>
      <x:c r="W97" s="20"/>
      <x:c r="X97" s="20"/>
      <x:c r="Y97" s="20"/>
      <x:c r="Z97" s="20"/>
    </x:row>
    <x:row r="98">
      <x:c r="A98" s="20"/>
      <x:c r="B98" s="20"/>
      <x:c r="C98" s="20"/>
      <x:c r="D98" s="20"/>
      <x:c r="E98" s="20"/>
      <x:c r="F98" s="20"/>
      <x:c r="G98" s="20"/>
      <x:c r="H98" s="20"/>
      <x:c r="I98" s="20"/>
      <x:c r="J98" s="20"/>
      <x:c r="K98" s="20"/>
      <x:c r="L98" s="20"/>
      <x:c r="M98" s="20"/>
      <x:c r="N98" s="20"/>
      <x:c r="O98" s="20"/>
      <x:c r="P98" s="20"/>
      <x:c r="Q98" s="20"/>
      <x:c r="R98" s="20"/>
      <x:c r="S98" s="20"/>
      <x:c r="T98" s="20"/>
      <x:c r="U98" s="20"/>
      <x:c r="V98" s="20"/>
      <x:c r="W98" s="20"/>
      <x:c r="X98" s="20"/>
      <x:c r="Y98" s="20"/>
      <x:c r="Z98" s="20"/>
    </x:row>
    <x:row r="99">
      <x:c r="A99" s="20"/>
      <x:c r="B99" s="20"/>
      <x:c r="C99" s="20"/>
      <x:c r="D99" s="20"/>
      <x:c r="E99" s="20"/>
      <x:c r="F99" s="20"/>
      <x:c r="G99" s="20"/>
      <x:c r="H99" s="20"/>
      <x:c r="I99" s="20"/>
      <x:c r="J99" s="20"/>
      <x:c r="K99" s="20"/>
      <x:c r="L99" s="20"/>
      <x:c r="M99" s="20"/>
      <x:c r="N99" s="20"/>
      <x:c r="O99" s="20"/>
      <x:c r="P99" s="20"/>
      <x:c r="Q99" s="20"/>
      <x:c r="R99" s="20"/>
      <x:c r="S99" s="20"/>
      <x:c r="T99" s="20"/>
      <x:c r="U99" s="20"/>
      <x:c r="V99" s="20"/>
      <x:c r="W99" s="20"/>
      <x:c r="X99" s="20"/>
      <x:c r="Y99" s="20"/>
      <x:c r="Z99" s="20"/>
    </x:row>
    <x:row r="100">
      <x:c r="A100" s="20"/>
      <x:c r="B100" s="20"/>
      <x:c r="C100" s="20"/>
      <x:c r="D100" s="20"/>
      <x:c r="E100" s="20"/>
      <x:c r="F100" s="20"/>
      <x:c r="G100" s="20"/>
      <x:c r="H100" s="20"/>
      <x:c r="I100" s="20"/>
      <x:c r="J100" s="20"/>
      <x:c r="K100" s="20"/>
      <x:c r="L100" s="20"/>
      <x:c r="M100" s="20"/>
      <x:c r="N100" s="20"/>
      <x:c r="O100" s="20"/>
      <x:c r="P100" s="20"/>
      <x:c r="Q100" s="20"/>
      <x:c r="R100" s="20"/>
      <x:c r="S100" s="20"/>
      <x:c r="T100" s="20"/>
      <x:c r="U100" s="20"/>
      <x:c r="V100" s="20"/>
      <x:c r="W100" s="20"/>
      <x:c r="X100" s="20"/>
      <x:c r="Y100" s="20"/>
      <x:c r="Z100" s="20"/>
    </x:row>
    <x:row r="101">
      <x:c r="A101" s="20"/>
      <x:c r="B101" s="20"/>
      <x:c r="C101" s="20"/>
      <x:c r="D101" s="20"/>
      <x:c r="E101" s="20"/>
      <x:c r="F101" s="20"/>
      <x:c r="G101" s="20"/>
      <x:c r="H101" s="20"/>
      <x:c r="I101" s="20"/>
      <x:c r="J101" s="20"/>
      <x:c r="K101" s="20"/>
      <x:c r="L101" s="20"/>
      <x:c r="M101" s="20"/>
      <x:c r="N101" s="20"/>
      <x:c r="O101" s="20"/>
      <x:c r="P101" s="20"/>
      <x:c r="Q101" s="20"/>
      <x:c r="R101" s="20"/>
      <x:c r="S101" s="20"/>
      <x:c r="T101" s="20"/>
      <x:c r="U101" s="20"/>
      <x:c r="V101" s="20"/>
      <x:c r="W101" s="20"/>
      <x:c r="X101" s="20"/>
      <x:c r="Y101" s="20"/>
      <x:c r="Z101" s="20"/>
    </x:row>
    <x:row r="102">
      <x:c r="A102" s="20"/>
      <x:c r="B102" s="20"/>
      <x:c r="C102" s="20"/>
      <x:c r="D102" s="20"/>
      <x:c r="E102" s="20"/>
      <x:c r="F102" s="20"/>
      <x:c r="G102" s="20"/>
      <x:c r="H102" s="20"/>
      <x:c r="I102" s="20"/>
      <x:c r="J102" s="20"/>
      <x:c r="K102" s="20"/>
      <x:c r="L102" s="20"/>
      <x:c r="M102" s="20"/>
      <x:c r="N102" s="20"/>
      <x:c r="O102" s="20"/>
      <x:c r="P102" s="20"/>
      <x:c r="Q102" s="20"/>
      <x:c r="R102" s="20"/>
      <x:c r="S102" s="20"/>
      <x:c r="T102" s="20"/>
      <x:c r="U102" s="20"/>
      <x:c r="V102" s="20"/>
      <x:c r="W102" s="20"/>
      <x:c r="X102" s="20"/>
      <x:c r="Y102" s="20"/>
      <x:c r="Z102" s="20"/>
    </x:row>
    <x:row r="103">
      <x:c r="A103" s="20"/>
      <x:c r="B103" s="20"/>
      <x:c r="C103" s="20"/>
      <x:c r="D103" s="20"/>
      <x:c r="E103" s="20"/>
      <x:c r="F103" s="20"/>
      <x:c r="G103" s="20"/>
      <x:c r="H103" s="20"/>
      <x:c r="I103" s="20"/>
      <x:c r="J103" s="20"/>
      <x:c r="K103" s="20"/>
      <x:c r="L103" s="20"/>
      <x:c r="M103" s="20"/>
      <x:c r="N103" s="20"/>
      <x:c r="O103" s="20"/>
      <x:c r="P103" s="20"/>
      <x:c r="Q103" s="20"/>
      <x:c r="R103" s="20"/>
      <x:c r="S103" s="20"/>
      <x:c r="T103" s="20"/>
      <x:c r="U103" s="20"/>
      <x:c r="V103" s="20"/>
      <x:c r="W103" s="20"/>
      <x:c r="X103" s="20"/>
      <x:c r="Y103" s="20"/>
      <x:c r="Z103" s="20"/>
    </x:row>
    <x:row r="104">
      <x:c r="A104" s="20"/>
      <x:c r="B104" s="20"/>
      <x:c r="C104" s="20"/>
      <x:c r="D104" s="20"/>
      <x:c r="E104" s="20"/>
      <x:c r="F104" s="20"/>
      <x:c r="G104" s="20"/>
      <x:c r="H104" s="20"/>
      <x:c r="I104" s="20"/>
      <x:c r="J104" s="20"/>
      <x:c r="K104" s="20"/>
      <x:c r="L104" s="20"/>
      <x:c r="M104" s="20"/>
      <x:c r="N104" s="20"/>
      <x:c r="O104" s="20"/>
      <x:c r="P104" s="20"/>
      <x:c r="Q104" s="20"/>
      <x:c r="R104" s="20"/>
      <x:c r="S104" s="20"/>
      <x:c r="T104" s="20"/>
      <x:c r="U104" s="20"/>
      <x:c r="V104" s="20"/>
      <x:c r="W104" s="20"/>
      <x:c r="X104" s="20"/>
      <x:c r="Y104" s="20"/>
      <x:c r="Z104" s="20"/>
    </x:row>
    <x:row r="105">
      <x:c r="A105" s="20"/>
      <x:c r="B105" s="20"/>
      <x:c r="C105" s="20"/>
      <x:c r="D105" s="20"/>
      <x:c r="E105" s="20"/>
      <x:c r="F105" s="20"/>
      <x:c r="G105" s="20"/>
      <x:c r="H105" s="20"/>
      <x:c r="I105" s="20"/>
      <x:c r="J105" s="20"/>
      <x:c r="K105" s="20"/>
      <x:c r="L105" s="20"/>
      <x:c r="M105" s="20"/>
      <x:c r="N105" s="20"/>
      <x:c r="O105" s="20"/>
      <x:c r="P105" s="20"/>
      <x:c r="Q105" s="20"/>
      <x:c r="R105" s="20"/>
      <x:c r="S105" s="20"/>
      <x:c r="T105" s="20"/>
      <x:c r="U105" s="20"/>
      <x:c r="V105" s="20"/>
      <x:c r="W105" s="20"/>
      <x:c r="X105" s="20"/>
      <x:c r="Y105" s="20"/>
      <x:c r="Z105" s="20"/>
    </x:row>
    <x:row r="106">
      <x:c r="A106" s="20"/>
      <x:c r="B106" s="20"/>
      <x:c r="C106" s="20"/>
      <x:c r="D106" s="20"/>
      <x:c r="E106" s="20"/>
      <x:c r="F106" s="20"/>
      <x:c r="G106" s="20"/>
      <x:c r="H106" s="20"/>
      <x:c r="I106" s="20"/>
      <x:c r="J106" s="20"/>
      <x:c r="K106" s="20"/>
      <x:c r="L106" s="20"/>
      <x:c r="M106" s="20"/>
      <x:c r="N106" s="20"/>
      <x:c r="O106" s="20"/>
      <x:c r="P106" s="20"/>
      <x:c r="Q106" s="20"/>
      <x:c r="R106" s="20"/>
      <x:c r="S106" s="20"/>
      <x:c r="T106" s="20"/>
      <x:c r="U106" s="20"/>
      <x:c r="V106" s="20"/>
      <x:c r="W106" s="20"/>
      <x:c r="X106" s="20"/>
      <x:c r="Y106" s="20"/>
      <x:c r="Z106" s="20"/>
    </x:row>
    <x:row r="107">
      <x:c r="A107" s="20"/>
      <x:c r="B107" s="20"/>
      <x:c r="C107" s="20"/>
      <x:c r="D107" s="20"/>
      <x:c r="E107" s="20"/>
      <x:c r="F107" s="20"/>
      <x:c r="G107" s="20"/>
      <x:c r="H107" s="20"/>
      <x:c r="I107" s="20"/>
      <x:c r="J107" s="20"/>
      <x:c r="K107" s="20"/>
      <x:c r="L107" s="20"/>
      <x:c r="M107" s="20"/>
      <x:c r="N107" s="20"/>
      <x:c r="O107" s="20"/>
      <x:c r="P107" s="20"/>
      <x:c r="Q107" s="20"/>
      <x:c r="R107" s="20"/>
      <x:c r="S107" s="20"/>
      <x:c r="T107" s="20"/>
      <x:c r="U107" s="20"/>
      <x:c r="V107" s="20"/>
      <x:c r="W107" s="20"/>
      <x:c r="X107" s="20"/>
      <x:c r="Y107" s="20"/>
      <x:c r="Z107" s="20"/>
    </x:row>
    <x:row r="108">
      <x:c r="A108" s="20"/>
      <x:c r="B108" s="20"/>
      <x:c r="C108" s="20"/>
      <x:c r="D108" s="20"/>
      <x:c r="E108" s="20"/>
      <x:c r="F108" s="20"/>
      <x:c r="G108" s="20"/>
      <x:c r="H108" s="20"/>
      <x:c r="I108" s="20"/>
      <x:c r="J108" s="20"/>
      <x:c r="K108" s="20"/>
      <x:c r="L108" s="20"/>
      <x:c r="M108" s="20"/>
      <x:c r="N108" s="20"/>
      <x:c r="O108" s="20"/>
      <x:c r="P108" s="20"/>
      <x:c r="Q108" s="20"/>
      <x:c r="R108" s="20"/>
      <x:c r="S108" s="20"/>
      <x:c r="T108" s="20"/>
      <x:c r="U108" s="20"/>
      <x:c r="V108" s="20"/>
      <x:c r="W108" s="20"/>
      <x:c r="X108" s="20"/>
      <x:c r="Y108" s="20"/>
      <x:c r="Z108" s="20"/>
    </x:row>
    <x:row r="109">
      <x:c r="A109" s="20"/>
      <x:c r="B109" s="20"/>
      <x:c r="C109" s="20"/>
      <x:c r="D109" s="20"/>
      <x:c r="E109" s="20"/>
      <x:c r="F109" s="20"/>
      <x:c r="G109" s="20"/>
      <x:c r="H109" s="20"/>
      <x:c r="I109" s="20"/>
      <x:c r="J109" s="20"/>
      <x:c r="K109" s="20"/>
      <x:c r="L109" s="20"/>
      <x:c r="M109" s="20"/>
      <x:c r="N109" s="20"/>
      <x:c r="O109" s="20"/>
      <x:c r="P109" s="20"/>
      <x:c r="Q109" s="20"/>
      <x:c r="R109" s="20"/>
      <x:c r="S109" s="20"/>
      <x:c r="T109" s="20"/>
      <x:c r="U109" s="20"/>
      <x:c r="V109" s="20"/>
      <x:c r="W109" s="20"/>
      <x:c r="X109" s="20"/>
      <x:c r="Y109" s="20"/>
      <x:c r="Z109" s="20"/>
    </x:row>
    <x:row r="110">
      <x:c r="A110" s="20"/>
      <x:c r="B110" s="20"/>
      <x:c r="C110" s="20"/>
      <x:c r="D110" s="20"/>
      <x:c r="E110" s="20"/>
      <x:c r="F110" s="20"/>
      <x:c r="G110" s="20"/>
      <x:c r="H110" s="20"/>
      <x:c r="I110" s="20"/>
      <x:c r="J110" s="20"/>
      <x:c r="K110" s="20"/>
      <x:c r="L110" s="20"/>
      <x:c r="M110" s="20"/>
      <x:c r="N110" s="20"/>
      <x:c r="O110" s="20"/>
      <x:c r="P110" s="20"/>
      <x:c r="Q110" s="20"/>
      <x:c r="R110" s="20"/>
      <x:c r="S110" s="20"/>
      <x:c r="T110" s="20"/>
      <x:c r="U110" s="20"/>
      <x:c r="V110" s="20"/>
      <x:c r="W110" s="20"/>
      <x:c r="X110" s="20"/>
      <x:c r="Y110" s="20"/>
      <x:c r="Z110" s="20"/>
    </x:row>
    <x:row r="111">
      <x:c r="A111" s="20"/>
      <x:c r="B111" s="20"/>
      <x:c r="C111" s="20"/>
      <x:c r="D111" s="20"/>
      <x:c r="E111" s="20"/>
      <x:c r="F111" s="20"/>
      <x:c r="G111" s="20"/>
      <x:c r="H111" s="20"/>
      <x:c r="I111" s="20"/>
      <x:c r="J111" s="20"/>
      <x:c r="K111" s="20"/>
      <x:c r="L111" s="20"/>
      <x:c r="M111" s="20"/>
      <x:c r="N111" s="20"/>
      <x:c r="O111" s="20"/>
      <x:c r="P111" s="20"/>
      <x:c r="Q111" s="20"/>
      <x:c r="R111" s="20"/>
      <x:c r="S111" s="20"/>
      <x:c r="T111" s="20"/>
      <x:c r="U111" s="20"/>
      <x:c r="V111" s="20"/>
      <x:c r="W111" s="20"/>
      <x:c r="X111" s="20"/>
      <x:c r="Y111" s="20"/>
      <x:c r="Z111" s="20"/>
    </x:row>
    <x:row r="112">
      <x:c r="A112" s="20"/>
      <x:c r="B112" s="20"/>
      <x:c r="C112" s="20"/>
      <x:c r="D112" s="20"/>
      <x:c r="E112" s="20"/>
      <x:c r="F112" s="20"/>
      <x:c r="G112" s="20"/>
      <x:c r="H112" s="20"/>
      <x:c r="I112" s="20"/>
      <x:c r="J112" s="20"/>
      <x:c r="K112" s="20"/>
      <x:c r="L112" s="20"/>
      <x:c r="M112" s="20"/>
      <x:c r="N112" s="20"/>
      <x:c r="O112" s="20"/>
      <x:c r="P112" s="20"/>
      <x:c r="Q112" s="20"/>
      <x:c r="R112" s="20"/>
      <x:c r="S112" s="20"/>
      <x:c r="T112" s="20"/>
      <x:c r="U112" s="20"/>
      <x:c r="V112" s="20"/>
      <x:c r="W112" s="20"/>
      <x:c r="X112" s="20"/>
      <x:c r="Y112" s="20"/>
      <x:c r="Z112" s="20"/>
    </x:row>
    <x:row r="113">
      <x:c r="A113" s="20"/>
      <x:c r="B113" s="20"/>
      <x:c r="C113" s="20"/>
      <x:c r="D113" s="20"/>
      <x:c r="E113" s="20"/>
      <x:c r="F113" s="20"/>
      <x:c r="G113" s="20"/>
      <x:c r="H113" s="20"/>
      <x:c r="I113" s="20"/>
      <x:c r="J113" s="20"/>
      <x:c r="K113" s="20"/>
      <x:c r="L113" s="20"/>
      <x:c r="M113" s="20"/>
      <x:c r="N113" s="20"/>
      <x:c r="O113" s="20"/>
      <x:c r="P113" s="20"/>
      <x:c r="Q113" s="20"/>
      <x:c r="R113" s="20"/>
      <x:c r="S113" s="20"/>
      <x:c r="T113" s="20"/>
      <x:c r="U113" s="20"/>
      <x:c r="V113" s="20"/>
      <x:c r="W113" s="20"/>
      <x:c r="X113" s="20"/>
      <x:c r="Y113" s="20"/>
      <x:c r="Z113" s="20"/>
    </x:row>
    <x:row r="114">
      <x:c r="A114" s="20"/>
      <x:c r="B114" s="20"/>
      <x:c r="C114" s="20"/>
      <x:c r="D114" s="20"/>
      <x:c r="E114" s="20"/>
      <x:c r="F114" s="20"/>
      <x:c r="G114" s="20"/>
      <x:c r="H114" s="20"/>
      <x:c r="I114" s="20"/>
      <x:c r="J114" s="20"/>
      <x:c r="K114" s="20"/>
      <x:c r="L114" s="20"/>
      <x:c r="M114" s="20"/>
      <x:c r="N114" s="20"/>
      <x:c r="O114" s="20"/>
      <x:c r="P114" s="20"/>
      <x:c r="Q114" s="20"/>
      <x:c r="R114" s="20"/>
      <x:c r="S114" s="20"/>
      <x:c r="T114" s="20"/>
      <x:c r="U114" s="20"/>
      <x:c r="V114" s="20"/>
      <x:c r="W114" s="20"/>
      <x:c r="X114" s="20"/>
      <x:c r="Y114" s="20"/>
      <x:c r="Z114" s="20"/>
    </x:row>
    <x:row r="115">
      <x:c r="A115" s="20"/>
      <x:c r="B115" s="20"/>
      <x:c r="C115" s="20"/>
      <x:c r="D115" s="20"/>
      <x:c r="E115" s="20"/>
      <x:c r="F115" s="20"/>
      <x:c r="G115" s="20"/>
      <x:c r="H115" s="20"/>
      <x:c r="I115" s="20"/>
      <x:c r="J115" s="20"/>
      <x:c r="K115" s="20"/>
      <x:c r="L115" s="20"/>
      <x:c r="M115" s="20"/>
      <x:c r="N115" s="20"/>
      <x:c r="O115" s="20"/>
      <x:c r="P115" s="20"/>
      <x:c r="Q115" s="20"/>
      <x:c r="R115" s="20"/>
      <x:c r="S115" s="20"/>
      <x:c r="T115" s="20"/>
      <x:c r="U115" s="20"/>
      <x:c r="V115" s="20"/>
      <x:c r="W115" s="20"/>
      <x:c r="X115" s="20"/>
      <x:c r="Y115" s="20"/>
      <x:c r="Z115" s="20"/>
    </x:row>
    <x:row r="116">
      <x:c r="A116" s="20"/>
      <x:c r="B116" s="20"/>
      <x:c r="C116" s="20"/>
      <x:c r="D116" s="20"/>
      <x:c r="E116" s="20"/>
      <x:c r="F116" s="20"/>
      <x:c r="G116" s="20"/>
      <x:c r="H116" s="20"/>
      <x:c r="I116" s="20"/>
      <x:c r="J116" s="20"/>
      <x:c r="K116" s="20"/>
      <x:c r="L116" s="20"/>
      <x:c r="M116" s="20"/>
      <x:c r="N116" s="20"/>
      <x:c r="O116" s="20"/>
      <x:c r="P116" s="20"/>
      <x:c r="Q116" s="20"/>
      <x:c r="R116" s="20"/>
      <x:c r="S116" s="20"/>
      <x:c r="T116" s="20"/>
      <x:c r="U116" s="20"/>
      <x:c r="V116" s="20"/>
      <x:c r="W116" s="20"/>
      <x:c r="X116" s="20"/>
      <x:c r="Y116" s="20"/>
      <x:c r="Z116" s="20"/>
    </x:row>
    <x:row r="117">
      <x:c r="A117" s="20"/>
      <x:c r="B117" s="20"/>
      <x:c r="C117" s="20"/>
      <x:c r="D117" s="20"/>
      <x:c r="E117" s="20"/>
      <x:c r="F117" s="20"/>
      <x:c r="G117" s="20"/>
      <x:c r="H117" s="20"/>
      <x:c r="I117" s="20"/>
      <x:c r="J117" s="20"/>
      <x:c r="K117" s="20"/>
      <x:c r="L117" s="20"/>
      <x:c r="M117" s="20"/>
      <x:c r="N117" s="20"/>
      <x:c r="O117" s="20"/>
      <x:c r="P117" s="20"/>
      <x:c r="Q117" s="20"/>
      <x:c r="R117" s="20"/>
      <x:c r="S117" s="20"/>
      <x:c r="T117" s="20"/>
      <x:c r="U117" s="20"/>
      <x:c r="V117" s="20"/>
      <x:c r="W117" s="20"/>
      <x:c r="X117" s="20"/>
      <x:c r="Y117" s="20"/>
      <x:c r="Z117" s="20"/>
    </x:row>
    <x:row r="118">
      <x:c r="A118" s="20"/>
      <x:c r="B118" s="20"/>
      <x:c r="C118" s="20"/>
      <x:c r="D118" s="20"/>
      <x:c r="E118" s="20"/>
      <x:c r="F118" s="20"/>
      <x:c r="G118" s="20"/>
      <x:c r="H118" s="20"/>
      <x:c r="I118" s="20"/>
      <x:c r="J118" s="20"/>
      <x:c r="K118" s="20"/>
      <x:c r="L118" s="20"/>
      <x:c r="M118" s="20"/>
      <x:c r="N118" s="20"/>
      <x:c r="O118" s="20"/>
      <x:c r="P118" s="20"/>
      <x:c r="Q118" s="20"/>
      <x:c r="R118" s="20"/>
      <x:c r="S118" s="20"/>
      <x:c r="T118" s="20"/>
      <x:c r="U118" s="20"/>
      <x:c r="V118" s="20"/>
      <x:c r="W118" s="20"/>
      <x:c r="X118" s="20"/>
      <x:c r="Y118" s="20"/>
      <x:c r="Z118" s="20"/>
    </x:row>
    <x:row r="119">
      <x:c r="A119" s="20"/>
      <x:c r="B119" s="20"/>
      <x:c r="C119" s="20"/>
      <x:c r="D119" s="20"/>
      <x:c r="E119" s="20"/>
      <x:c r="F119" s="20"/>
      <x:c r="G119" s="20"/>
      <x:c r="H119" s="20"/>
      <x:c r="I119" s="20"/>
      <x:c r="J119" s="20"/>
      <x:c r="K119" s="20"/>
      <x:c r="L119" s="20"/>
      <x:c r="M119" s="20"/>
      <x:c r="N119" s="20"/>
      <x:c r="O119" s="20"/>
      <x:c r="P119" s="20"/>
      <x:c r="Q119" s="20"/>
      <x:c r="R119" s="20"/>
      <x:c r="S119" s="20"/>
      <x:c r="T119" s="20"/>
      <x:c r="U119" s="20"/>
      <x:c r="V119" s="20"/>
      <x:c r="W119" s="20"/>
      <x:c r="X119" s="20"/>
      <x:c r="Y119" s="20"/>
      <x:c r="Z119" s="20"/>
    </x:row>
    <x:row r="120">
      <x:c r="A120" s="20"/>
      <x:c r="B120" s="20"/>
      <x:c r="C120" s="20"/>
      <x:c r="D120" s="20"/>
      <x:c r="E120" s="20"/>
      <x:c r="F120" s="20"/>
      <x:c r="G120" s="20"/>
      <x:c r="H120" s="20"/>
      <x:c r="I120" s="20"/>
      <x:c r="J120" s="20"/>
      <x:c r="K120" s="20"/>
      <x:c r="L120" s="20"/>
      <x:c r="M120" s="20"/>
      <x:c r="N120" s="20"/>
      <x:c r="O120" s="20"/>
      <x:c r="P120" s="20"/>
      <x:c r="Q120" s="20"/>
      <x:c r="R120" s="20"/>
      <x:c r="S120" s="20"/>
      <x:c r="T120" s="20"/>
      <x:c r="U120" s="20"/>
      <x:c r="V120" s="20"/>
      <x:c r="W120" s="20"/>
      <x:c r="X120" s="20"/>
      <x:c r="Y120" s="20"/>
      <x:c r="Z120" s="20"/>
    </x:row>
    <x:row r="121">
      <x:c r="A121" s="20"/>
      <x:c r="B121" s="20"/>
      <x:c r="C121" s="20"/>
      <x:c r="D121" s="20"/>
      <x:c r="E121" s="20"/>
      <x:c r="F121" s="20"/>
      <x:c r="G121" s="20"/>
      <x:c r="H121" s="20"/>
      <x:c r="I121" s="20"/>
      <x:c r="J121" s="20"/>
      <x:c r="K121" s="20"/>
      <x:c r="L121" s="20"/>
      <x:c r="M121" s="20"/>
      <x:c r="N121" s="20"/>
      <x:c r="O121" s="20"/>
      <x:c r="P121" s="20"/>
      <x:c r="Q121" s="20"/>
      <x:c r="R121" s="20"/>
      <x:c r="S121" s="20"/>
      <x:c r="T121" s="20"/>
      <x:c r="U121" s="20"/>
      <x:c r="V121" s="20"/>
      <x:c r="W121" s="20"/>
      <x:c r="X121" s="20"/>
      <x:c r="Y121" s="20"/>
      <x:c r="Z121" s="20"/>
    </x:row>
    <x:row r="122">
      <x:c r="A122" s="20"/>
      <x:c r="B122" s="20"/>
      <x:c r="C122" s="20"/>
      <x:c r="D122" s="20"/>
      <x:c r="E122" s="20"/>
      <x:c r="F122" s="20"/>
      <x:c r="G122" s="20"/>
      <x:c r="H122" s="20"/>
      <x:c r="I122" s="20"/>
      <x:c r="J122" s="20"/>
      <x:c r="K122" s="20"/>
      <x:c r="L122" s="20"/>
      <x:c r="M122" s="20"/>
      <x:c r="N122" s="20"/>
      <x:c r="O122" s="20"/>
      <x:c r="P122" s="20"/>
      <x:c r="Q122" s="20"/>
      <x:c r="R122" s="20"/>
      <x:c r="S122" s="20"/>
      <x:c r="T122" s="20"/>
      <x:c r="U122" s="20"/>
      <x:c r="V122" s="20"/>
      <x:c r="W122" s="20"/>
      <x:c r="X122" s="20"/>
      <x:c r="Y122" s="20"/>
      <x:c r="Z122" s="20"/>
    </x:row>
    <x:row r="123">
      <x:c r="A123" s="20"/>
      <x:c r="B123" s="20"/>
      <x:c r="C123" s="20"/>
      <x:c r="D123" s="20"/>
      <x:c r="E123" s="20"/>
      <x:c r="F123" s="20"/>
      <x:c r="G123" s="20"/>
      <x:c r="H123" s="20"/>
      <x:c r="I123" s="20"/>
      <x:c r="J123" s="20"/>
      <x:c r="K123" s="20"/>
      <x:c r="L123" s="20"/>
      <x:c r="M123" s="20"/>
      <x:c r="N123" s="20"/>
      <x:c r="O123" s="20"/>
      <x:c r="P123" s="20"/>
      <x:c r="Q123" s="20"/>
      <x:c r="R123" s="20"/>
      <x:c r="S123" s="20"/>
      <x:c r="T123" s="20"/>
      <x:c r="U123" s="20"/>
      <x:c r="V123" s="20"/>
      <x:c r="W123" s="20"/>
      <x:c r="X123" s="20"/>
      <x:c r="Y123" s="20"/>
      <x:c r="Z123" s="20"/>
    </x:row>
    <x:row r="124">
      <x:c r="A124" s="20"/>
      <x:c r="B124" s="20"/>
      <x:c r="C124" s="20"/>
      <x:c r="D124" s="20"/>
      <x:c r="E124" s="20"/>
      <x:c r="F124" s="20"/>
      <x:c r="G124" s="20"/>
      <x:c r="H124" s="20"/>
      <x:c r="I124" s="20"/>
      <x:c r="J124" s="20"/>
      <x:c r="K124" s="20"/>
      <x:c r="L124" s="20"/>
      <x:c r="M124" s="20"/>
      <x:c r="N124" s="20"/>
      <x:c r="O124" s="20"/>
      <x:c r="P124" s="20"/>
      <x:c r="Q124" s="20"/>
      <x:c r="R124" s="20"/>
      <x:c r="S124" s="20"/>
      <x:c r="T124" s="20"/>
      <x:c r="U124" s="20"/>
      <x:c r="V124" s="20"/>
      <x:c r="W124" s="20"/>
      <x:c r="X124" s="20"/>
      <x:c r="Y124" s="20"/>
      <x:c r="Z124" s="20"/>
    </x:row>
    <x:row r="125">
      <x:c r="A125" s="20"/>
      <x:c r="B125" s="20"/>
      <x:c r="C125" s="20"/>
      <x:c r="D125" s="20"/>
      <x:c r="E125" s="20"/>
      <x:c r="F125" s="20"/>
      <x:c r="G125" s="20"/>
      <x:c r="H125" s="20"/>
      <x:c r="I125" s="20"/>
      <x:c r="J125" s="20"/>
      <x:c r="K125" s="20"/>
      <x:c r="L125" s="20"/>
      <x:c r="M125" s="20"/>
      <x:c r="N125" s="20"/>
      <x:c r="O125" s="20"/>
      <x:c r="P125" s="20"/>
      <x:c r="Q125" s="20"/>
      <x:c r="R125" s="20"/>
      <x:c r="S125" s="20"/>
      <x:c r="T125" s="20"/>
      <x:c r="U125" s="20"/>
      <x:c r="V125" s="20"/>
      <x:c r="W125" s="20"/>
      <x:c r="X125" s="20"/>
      <x:c r="Y125" s="20"/>
      <x:c r="Z125" s="20"/>
    </x:row>
    <x:row r="126">
      <x:c r="A126" s="20"/>
      <x:c r="B126" s="20"/>
      <x:c r="C126" s="20"/>
      <x:c r="D126" s="20"/>
      <x:c r="E126" s="20"/>
      <x:c r="F126" s="20"/>
      <x:c r="G126" s="20"/>
      <x:c r="H126" s="20"/>
      <x:c r="I126" s="20"/>
      <x:c r="J126" s="20"/>
      <x:c r="K126" s="20"/>
      <x:c r="L126" s="20"/>
      <x:c r="M126" s="20"/>
      <x:c r="N126" s="20"/>
      <x:c r="O126" s="20"/>
      <x:c r="P126" s="20"/>
      <x:c r="Q126" s="20"/>
      <x:c r="R126" s="20"/>
      <x:c r="S126" s="20"/>
      <x:c r="T126" s="20"/>
      <x:c r="U126" s="20"/>
      <x:c r="V126" s="20"/>
      <x:c r="W126" s="20"/>
      <x:c r="X126" s="20"/>
      <x:c r="Y126" s="20"/>
      <x:c r="Z126" s="20"/>
    </x:row>
    <x:row r="127">
      <x:c r="A127" s="20"/>
      <x:c r="B127" s="20"/>
      <x:c r="C127" s="20"/>
      <x:c r="D127" s="20"/>
      <x:c r="E127" s="20"/>
      <x:c r="F127" s="20"/>
      <x:c r="G127" s="20"/>
      <x:c r="H127" s="20"/>
      <x:c r="I127" s="20"/>
      <x:c r="J127" s="20"/>
      <x:c r="K127" s="20"/>
      <x:c r="L127" s="20"/>
      <x:c r="M127" s="20"/>
      <x:c r="N127" s="20"/>
      <x:c r="O127" s="20"/>
      <x:c r="P127" s="20"/>
      <x:c r="Q127" s="20"/>
      <x:c r="R127" s="20"/>
      <x:c r="S127" s="20"/>
      <x:c r="T127" s="20"/>
      <x:c r="U127" s="20"/>
      <x:c r="V127" s="20"/>
      <x:c r="W127" s="20"/>
      <x:c r="X127" s="20"/>
      <x:c r="Y127" s="20"/>
      <x:c r="Z127" s="20"/>
    </x:row>
    <x:row r="128">
      <x:c r="A128" s="20"/>
      <x:c r="B128" s="20"/>
      <x:c r="C128" s="20"/>
      <x:c r="D128" s="20"/>
      <x:c r="E128" s="20"/>
      <x:c r="F128" s="20"/>
      <x:c r="G128" s="20"/>
      <x:c r="H128" s="20"/>
      <x:c r="I128" s="20"/>
      <x:c r="J128" s="20"/>
      <x:c r="K128" s="20"/>
      <x:c r="L128" s="20"/>
      <x:c r="M128" s="20"/>
      <x:c r="N128" s="20"/>
      <x:c r="O128" s="20"/>
      <x:c r="P128" s="20"/>
      <x:c r="Q128" s="20"/>
      <x:c r="R128" s="20"/>
      <x:c r="S128" s="20"/>
      <x:c r="T128" s="20"/>
      <x:c r="U128" s="20"/>
      <x:c r="V128" s="20"/>
      <x:c r="W128" s="20"/>
      <x:c r="X128" s="20"/>
      <x:c r="Y128" s="20"/>
      <x:c r="Z128" s="20"/>
    </x:row>
    <x:row r="129">
      <x:c r="A129" s="20"/>
      <x:c r="B129" s="20"/>
      <x:c r="C129" s="20"/>
      <x:c r="D129" s="20"/>
      <x:c r="E129" s="20"/>
      <x:c r="F129" s="20"/>
      <x:c r="G129" s="20"/>
      <x:c r="H129" s="20"/>
      <x:c r="I129" s="20"/>
      <x:c r="J129" s="20"/>
      <x:c r="K129" s="20"/>
      <x:c r="L129" s="20"/>
      <x:c r="M129" s="20"/>
      <x:c r="N129" s="20"/>
      <x:c r="O129" s="20"/>
      <x:c r="P129" s="20"/>
      <x:c r="Q129" s="20"/>
      <x:c r="R129" s="20"/>
      <x:c r="S129" s="20"/>
      <x:c r="T129" s="20"/>
      <x:c r="U129" s="20"/>
      <x:c r="V129" s="20"/>
      <x:c r="W129" s="20"/>
      <x:c r="X129" s="20"/>
      <x:c r="Y129" s="20"/>
      <x:c r="Z129" s="20"/>
    </x:row>
    <x:row r="130">
      <x:c r="A130" s="20"/>
      <x:c r="B130" s="20"/>
      <x:c r="C130" s="20"/>
      <x:c r="D130" s="20"/>
      <x:c r="E130" s="20"/>
      <x:c r="F130" s="20"/>
      <x:c r="G130" s="20"/>
      <x:c r="H130" s="20"/>
      <x:c r="I130" s="20"/>
      <x:c r="J130" s="20"/>
      <x:c r="K130" s="20"/>
      <x:c r="L130" s="20"/>
      <x:c r="M130" s="20"/>
      <x:c r="N130" s="20"/>
      <x:c r="O130" s="20"/>
      <x:c r="P130" s="20"/>
      <x:c r="Q130" s="20"/>
      <x:c r="R130" s="20"/>
      <x:c r="S130" s="20"/>
      <x:c r="T130" s="20"/>
      <x:c r="U130" s="20"/>
      <x:c r="V130" s="20"/>
      <x:c r="W130" s="20"/>
      <x:c r="X130" s="20"/>
      <x:c r="Y130" s="20"/>
      <x:c r="Z130" s="20"/>
    </x:row>
    <x:row r="131">
      <x:c r="A131" s="20"/>
      <x:c r="B131" s="20"/>
      <x:c r="C131" s="20"/>
      <x:c r="D131" s="20"/>
      <x:c r="E131" s="20"/>
      <x:c r="F131" s="20"/>
      <x:c r="G131" s="20"/>
      <x:c r="H131" s="20"/>
      <x:c r="I131" s="20"/>
      <x:c r="J131" s="20"/>
      <x:c r="K131" s="20"/>
      <x:c r="L131" s="20"/>
      <x:c r="M131" s="20"/>
      <x:c r="N131" s="20"/>
      <x:c r="O131" s="20"/>
      <x:c r="P131" s="20"/>
      <x:c r="Q131" s="20"/>
      <x:c r="R131" s="20"/>
      <x:c r="S131" s="20"/>
      <x:c r="T131" s="20"/>
      <x:c r="U131" s="20"/>
      <x:c r="V131" s="20"/>
      <x:c r="W131" s="20"/>
      <x:c r="X131" s="20"/>
      <x:c r="Y131" s="20"/>
      <x:c r="Z131" s="20"/>
    </x:row>
    <x:row r="132">
      <x:c r="A132" s="20"/>
      <x:c r="B132" s="20"/>
      <x:c r="C132" s="20"/>
      <x:c r="D132" s="20"/>
      <x:c r="E132" s="20"/>
      <x:c r="F132" s="20"/>
      <x:c r="G132" s="20"/>
      <x:c r="H132" s="20"/>
      <x:c r="I132" s="20"/>
      <x:c r="J132" s="20"/>
      <x:c r="K132" s="20"/>
      <x:c r="L132" s="20"/>
      <x:c r="M132" s="20"/>
      <x:c r="N132" s="20"/>
      <x:c r="O132" s="20"/>
      <x:c r="P132" s="20"/>
      <x:c r="Q132" s="20"/>
      <x:c r="R132" s="20"/>
      <x:c r="S132" s="20"/>
      <x:c r="T132" s="20"/>
      <x:c r="U132" s="20"/>
      <x:c r="V132" s="20"/>
      <x:c r="W132" s="20"/>
      <x:c r="X132" s="20"/>
      <x:c r="Y132" s="20"/>
      <x:c r="Z132" s="20"/>
    </x:row>
    <x:row r="133">
      <x:c r="A133" s="20"/>
      <x:c r="B133" s="20"/>
      <x:c r="C133" s="20"/>
      <x:c r="D133" s="20"/>
      <x:c r="E133" s="20"/>
      <x:c r="F133" s="20"/>
      <x:c r="G133" s="20"/>
      <x:c r="H133" s="20"/>
      <x:c r="I133" s="20"/>
      <x:c r="J133" s="20"/>
      <x:c r="K133" s="20"/>
      <x:c r="L133" s="20"/>
      <x:c r="M133" s="20"/>
      <x:c r="N133" s="20"/>
      <x:c r="O133" s="20"/>
      <x:c r="P133" s="20"/>
      <x:c r="Q133" s="20"/>
      <x:c r="R133" s="20"/>
      <x:c r="S133" s="20"/>
      <x:c r="T133" s="20"/>
      <x:c r="U133" s="20"/>
      <x:c r="V133" s="20"/>
      <x:c r="W133" s="20"/>
      <x:c r="X133" s="20"/>
      <x:c r="Y133" s="20"/>
      <x:c r="Z133" s="20"/>
    </x:row>
    <x:row r="134">
      <x:c r="A134" s="20"/>
      <x:c r="B134" s="20"/>
      <x:c r="C134" s="20"/>
      <x:c r="D134" s="20"/>
      <x:c r="E134" s="20"/>
      <x:c r="F134" s="20"/>
      <x:c r="G134" s="20"/>
      <x:c r="H134" s="20"/>
      <x:c r="I134" s="20"/>
      <x:c r="J134" s="20"/>
      <x:c r="K134" s="20"/>
      <x:c r="L134" s="20"/>
      <x:c r="M134" s="20"/>
      <x:c r="N134" s="20"/>
      <x:c r="O134" s="20"/>
      <x:c r="P134" s="20"/>
      <x:c r="Q134" s="20"/>
      <x:c r="R134" s="20"/>
      <x:c r="S134" s="20"/>
      <x:c r="T134" s="20"/>
      <x:c r="U134" s="20"/>
      <x:c r="V134" s="20"/>
      <x:c r="W134" s="20"/>
      <x:c r="X134" s="20"/>
      <x:c r="Y134" s="20"/>
      <x:c r="Z134" s="20"/>
    </x:row>
    <x:row r="135">
      <x:c r="A135" s="20"/>
      <x:c r="B135" s="20"/>
      <x:c r="C135" s="20"/>
      <x:c r="D135" s="20"/>
      <x:c r="E135" s="20"/>
      <x:c r="F135" s="20"/>
      <x:c r="G135" s="20"/>
      <x:c r="H135" s="20"/>
      <x:c r="I135" s="20"/>
      <x:c r="J135" s="20"/>
      <x:c r="K135" s="20"/>
      <x:c r="L135" s="20"/>
      <x:c r="M135" s="20"/>
      <x:c r="N135" s="20"/>
      <x:c r="O135" s="20"/>
      <x:c r="P135" s="20"/>
      <x:c r="Q135" s="20"/>
      <x:c r="R135" s="20"/>
      <x:c r="S135" s="20"/>
      <x:c r="T135" s="20"/>
      <x:c r="U135" s="20"/>
      <x:c r="V135" s="20"/>
      <x:c r="W135" s="20"/>
      <x:c r="X135" s="20"/>
      <x:c r="Y135" s="20"/>
      <x:c r="Z135" s="20"/>
    </x:row>
    <x:row r="136">
      <x:c r="A136" s="20"/>
      <x:c r="B136" s="20"/>
      <x:c r="C136" s="20"/>
      <x:c r="D136" s="20"/>
      <x:c r="E136" s="20"/>
      <x:c r="F136" s="20"/>
      <x:c r="G136" s="20"/>
      <x:c r="H136" s="20"/>
      <x:c r="I136" s="20"/>
      <x:c r="J136" s="20"/>
      <x:c r="K136" s="20"/>
      <x:c r="L136" s="20"/>
      <x:c r="M136" s="20"/>
      <x:c r="N136" s="20"/>
      <x:c r="O136" s="20"/>
      <x:c r="P136" s="20"/>
      <x:c r="Q136" s="20"/>
      <x:c r="R136" s="20"/>
      <x:c r="S136" s="20"/>
      <x:c r="T136" s="20"/>
      <x:c r="U136" s="20"/>
      <x:c r="V136" s="20"/>
      <x:c r="W136" s="20"/>
      <x:c r="X136" s="20"/>
      <x:c r="Y136" s="20"/>
      <x:c r="Z136" s="20"/>
    </x:row>
    <x:row r="137">
      <x:c r="A137" s="20"/>
      <x:c r="B137" s="20"/>
      <x:c r="C137" s="20"/>
      <x:c r="D137" s="20"/>
      <x:c r="E137" s="20"/>
      <x:c r="F137" s="20"/>
      <x:c r="G137" s="20"/>
      <x:c r="H137" s="20"/>
      <x:c r="I137" s="20"/>
      <x:c r="J137" s="20"/>
      <x:c r="K137" s="20"/>
      <x:c r="L137" s="20"/>
      <x:c r="M137" s="20"/>
      <x:c r="N137" s="20"/>
      <x:c r="O137" s="20"/>
      <x:c r="P137" s="20"/>
      <x:c r="Q137" s="20"/>
      <x:c r="R137" s="20"/>
      <x:c r="S137" s="20"/>
      <x:c r="T137" s="20"/>
      <x:c r="U137" s="20"/>
      <x:c r="V137" s="20"/>
      <x:c r="W137" s="20"/>
      <x:c r="X137" s="20"/>
      <x:c r="Y137" s="20"/>
      <x:c r="Z137" s="20"/>
    </x:row>
    <x:row r="138">
      <x:c r="A138" s="20"/>
      <x:c r="B138" s="20"/>
      <x:c r="C138" s="20"/>
      <x:c r="D138" s="20"/>
      <x:c r="E138" s="20"/>
      <x:c r="F138" s="20"/>
      <x:c r="G138" s="20"/>
      <x:c r="H138" s="20"/>
      <x:c r="I138" s="20"/>
      <x:c r="J138" s="20"/>
      <x:c r="K138" s="20"/>
      <x:c r="L138" s="20"/>
      <x:c r="M138" s="20"/>
      <x:c r="N138" s="20"/>
      <x:c r="O138" s="20"/>
      <x:c r="P138" s="20"/>
      <x:c r="Q138" s="20"/>
      <x:c r="R138" s="20"/>
      <x:c r="S138" s="20"/>
      <x:c r="T138" s="20"/>
      <x:c r="U138" s="20"/>
      <x:c r="V138" s="20"/>
      <x:c r="W138" s="20"/>
      <x:c r="X138" s="20"/>
      <x:c r="Y138" s="20"/>
      <x:c r="Z138" s="20"/>
    </x:row>
    <x:row r="139">
      <x:c r="A139" s="20"/>
      <x:c r="B139" s="20"/>
      <x:c r="C139" s="20"/>
      <x:c r="D139" s="20"/>
      <x:c r="E139" s="20"/>
      <x:c r="F139" s="20"/>
      <x:c r="G139" s="20"/>
      <x:c r="H139" s="20"/>
      <x:c r="I139" s="20"/>
      <x:c r="J139" s="20"/>
      <x:c r="K139" s="20"/>
      <x:c r="L139" s="20"/>
      <x:c r="M139" s="20"/>
      <x:c r="N139" s="20"/>
      <x:c r="O139" s="20"/>
      <x:c r="P139" s="20"/>
      <x:c r="Q139" s="20"/>
      <x:c r="R139" s="20"/>
      <x:c r="S139" s="20"/>
      <x:c r="T139" s="20"/>
      <x:c r="U139" s="20"/>
      <x:c r="V139" s="20"/>
      <x:c r="W139" s="20"/>
      <x:c r="X139" s="20"/>
      <x:c r="Y139" s="20"/>
      <x:c r="Z139" s="20"/>
    </x:row>
    <x:row r="140">
      <x:c r="A140" s="20"/>
      <x:c r="B140" s="20"/>
      <x:c r="C140" s="20"/>
      <x:c r="D140" s="20"/>
      <x:c r="E140" s="20"/>
      <x:c r="F140" s="20"/>
      <x:c r="G140" s="20"/>
      <x:c r="H140" s="20"/>
      <x:c r="I140" s="20"/>
      <x:c r="J140" s="20"/>
      <x:c r="K140" s="20"/>
      <x:c r="L140" s="20"/>
      <x:c r="M140" s="20"/>
      <x:c r="N140" s="20"/>
      <x:c r="O140" s="20"/>
      <x:c r="P140" s="20"/>
      <x:c r="Q140" s="20"/>
      <x:c r="R140" s="20"/>
      <x:c r="S140" s="20"/>
      <x:c r="T140" s="20"/>
      <x:c r="U140" s="20"/>
      <x:c r="V140" s="20"/>
      <x:c r="W140" s="20"/>
      <x:c r="X140" s="20"/>
      <x:c r="Y140" s="20"/>
      <x:c r="Z140" s="20"/>
    </x:row>
    <x:row r="141">
      <x:c r="A141" s="20"/>
      <x:c r="B141" s="20"/>
      <x:c r="C141" s="20"/>
      <x:c r="D141" s="20"/>
      <x:c r="E141" s="20"/>
      <x:c r="F141" s="20"/>
      <x:c r="G141" s="20"/>
      <x:c r="H141" s="20"/>
      <x:c r="I141" s="20"/>
      <x:c r="J141" s="20"/>
      <x:c r="K141" s="20"/>
      <x:c r="L141" s="20"/>
      <x:c r="M141" s="20"/>
      <x:c r="N141" s="20"/>
      <x:c r="O141" s="20"/>
      <x:c r="P141" s="20"/>
      <x:c r="Q141" s="20"/>
      <x:c r="R141" s="20"/>
      <x:c r="S141" s="20"/>
      <x:c r="T141" s="20"/>
      <x:c r="U141" s="20"/>
      <x:c r="V141" s="20"/>
      <x:c r="W141" s="20"/>
      <x:c r="X141" s="20"/>
      <x:c r="Y141" s="20"/>
      <x:c r="Z141" s="20"/>
    </x:row>
    <x:row r="142">
      <x:c r="A142" s="20"/>
      <x:c r="B142" s="20"/>
      <x:c r="C142" s="20"/>
      <x:c r="D142" s="20"/>
      <x:c r="E142" s="20"/>
      <x:c r="F142" s="20"/>
      <x:c r="G142" s="20"/>
      <x:c r="H142" s="20"/>
      <x:c r="I142" s="20"/>
      <x:c r="J142" s="20"/>
      <x:c r="K142" s="20"/>
      <x:c r="L142" s="20"/>
      <x:c r="M142" s="20"/>
      <x:c r="N142" s="20"/>
      <x:c r="O142" s="20"/>
      <x:c r="P142" s="20"/>
      <x:c r="Q142" s="20"/>
      <x:c r="R142" s="20"/>
      <x:c r="S142" s="20"/>
      <x:c r="T142" s="20"/>
      <x:c r="U142" s="20"/>
      <x:c r="V142" s="20"/>
      <x:c r="W142" s="20"/>
      <x:c r="X142" s="20"/>
      <x:c r="Y142" s="20"/>
      <x:c r="Z142" s="20"/>
    </x:row>
    <x:row r="143">
      <x:c r="A143" s="20"/>
      <x:c r="B143" s="20"/>
      <x:c r="C143" s="20"/>
      <x:c r="D143" s="20"/>
      <x:c r="E143" s="20"/>
      <x:c r="F143" s="20"/>
      <x:c r="G143" s="20"/>
      <x:c r="H143" s="20"/>
      <x:c r="I143" s="20"/>
      <x:c r="J143" s="20"/>
      <x:c r="K143" s="20"/>
      <x:c r="L143" s="20"/>
      <x:c r="M143" s="20"/>
      <x:c r="N143" s="20"/>
      <x:c r="O143" s="20"/>
      <x:c r="P143" s="20"/>
      <x:c r="Q143" s="20"/>
      <x:c r="R143" s="20"/>
      <x:c r="S143" s="20"/>
      <x:c r="T143" s="20"/>
      <x:c r="U143" s="20"/>
      <x:c r="V143" s="20"/>
      <x:c r="W143" s="20"/>
      <x:c r="X143" s="20"/>
      <x:c r="Y143" s="20"/>
      <x:c r="Z143" s="20"/>
    </x:row>
    <x:row r="144">
      <x:c r="A144" s="20"/>
      <x:c r="B144" s="20"/>
      <x:c r="C144" s="20"/>
      <x:c r="D144" s="20"/>
      <x:c r="E144" s="20"/>
      <x:c r="F144" s="20"/>
      <x:c r="G144" s="20"/>
      <x:c r="H144" s="20"/>
      <x:c r="I144" s="20"/>
      <x:c r="J144" s="20"/>
      <x:c r="K144" s="20"/>
      <x:c r="L144" s="20"/>
      <x:c r="M144" s="20"/>
      <x:c r="N144" s="20"/>
      <x:c r="O144" s="20"/>
      <x:c r="P144" s="20"/>
      <x:c r="Q144" s="20"/>
      <x:c r="R144" s="20"/>
      <x:c r="S144" s="20"/>
      <x:c r="T144" s="20"/>
      <x:c r="U144" s="20"/>
      <x:c r="V144" s="20"/>
      <x:c r="W144" s="20"/>
      <x:c r="X144" s="20"/>
      <x:c r="Y144" s="20"/>
      <x:c r="Z144" s="20"/>
    </x:row>
    <x:row r="145">
      <x:c r="A145" s="20"/>
      <x:c r="B145" s="20"/>
      <x:c r="C145" s="20"/>
      <x:c r="D145" s="20"/>
      <x:c r="E145" s="20"/>
      <x:c r="F145" s="20"/>
      <x:c r="G145" s="20"/>
      <x:c r="H145" s="20"/>
      <x:c r="I145" s="20"/>
      <x:c r="J145" s="20"/>
      <x:c r="K145" s="20"/>
      <x:c r="L145" s="20"/>
      <x:c r="M145" s="20"/>
      <x:c r="N145" s="20"/>
      <x:c r="O145" s="20"/>
      <x:c r="P145" s="20"/>
      <x:c r="Q145" s="20"/>
      <x:c r="R145" s="20"/>
      <x:c r="S145" s="20"/>
      <x:c r="T145" s="20"/>
      <x:c r="U145" s="20"/>
      <x:c r="V145" s="20"/>
      <x:c r="W145" s="20"/>
      <x:c r="X145" s="20"/>
      <x:c r="Y145" s="20"/>
      <x:c r="Z145" s="20"/>
    </x:row>
    <x:row r="146">
      <x:c r="A146" s="20"/>
      <x:c r="B146" s="20"/>
      <x:c r="C146" s="20"/>
      <x:c r="D146" s="20"/>
      <x:c r="E146" s="20"/>
      <x:c r="F146" s="20"/>
      <x:c r="G146" s="20"/>
      <x:c r="H146" s="20"/>
      <x:c r="I146" s="20"/>
      <x:c r="J146" s="20"/>
      <x:c r="K146" s="20"/>
      <x:c r="L146" s="20"/>
      <x:c r="M146" s="20"/>
      <x:c r="N146" s="20"/>
      <x:c r="O146" s="20"/>
      <x:c r="P146" s="20"/>
      <x:c r="Q146" s="20"/>
      <x:c r="R146" s="20"/>
      <x:c r="S146" s="20"/>
      <x:c r="T146" s="20"/>
      <x:c r="U146" s="20"/>
      <x:c r="V146" s="20"/>
      <x:c r="W146" s="20"/>
      <x:c r="X146" s="20"/>
      <x:c r="Y146" s="20"/>
      <x:c r="Z146" s="20"/>
    </x:row>
    <x:row r="147">
      <x:c r="A147" s="20"/>
      <x:c r="B147" s="20"/>
      <x:c r="C147" s="20"/>
      <x:c r="D147" s="20"/>
      <x:c r="E147" s="20"/>
      <x:c r="F147" s="20"/>
      <x:c r="G147" s="20"/>
      <x:c r="H147" s="20"/>
      <x:c r="I147" s="20"/>
      <x:c r="J147" s="20"/>
      <x:c r="K147" s="20"/>
      <x:c r="L147" s="20"/>
      <x:c r="M147" s="20"/>
      <x:c r="N147" s="20"/>
      <x:c r="O147" s="20"/>
      <x:c r="P147" s="20"/>
      <x:c r="Q147" s="20"/>
      <x:c r="R147" s="20"/>
      <x:c r="S147" s="20"/>
      <x:c r="T147" s="20"/>
      <x:c r="U147" s="20"/>
      <x:c r="V147" s="20"/>
      <x:c r="W147" s="20"/>
      <x:c r="X147" s="20"/>
      <x:c r="Y147" s="20"/>
      <x:c r="Z147" s="20"/>
    </x:row>
    <x:row r="148">
      <x:c r="A148" s="20"/>
      <x:c r="B148" s="20"/>
      <x:c r="C148" s="20"/>
      <x:c r="D148" s="20"/>
      <x:c r="E148" s="20"/>
      <x:c r="F148" s="20"/>
      <x:c r="G148" s="20"/>
      <x:c r="H148" s="20"/>
      <x:c r="I148" s="20"/>
      <x:c r="J148" s="20"/>
      <x:c r="K148" s="20"/>
      <x:c r="L148" s="20"/>
      <x:c r="M148" s="20"/>
      <x:c r="N148" s="20"/>
      <x:c r="O148" s="20"/>
      <x:c r="P148" s="20"/>
      <x:c r="Q148" s="20"/>
      <x:c r="R148" s="20"/>
      <x:c r="S148" s="20"/>
      <x:c r="T148" s="20"/>
      <x:c r="U148" s="20"/>
      <x:c r="V148" s="20"/>
      <x:c r="W148" s="20"/>
      <x:c r="X148" s="20"/>
      <x:c r="Y148" s="20"/>
      <x:c r="Z148" s="20"/>
    </x:row>
    <x:row r="149">
      <x:c r="A149" s="20"/>
      <x:c r="B149" s="20"/>
      <x:c r="C149" s="20"/>
      <x:c r="D149" s="20"/>
      <x:c r="E149" s="20"/>
      <x:c r="F149" s="20"/>
      <x:c r="G149" s="20"/>
      <x:c r="H149" s="20"/>
      <x:c r="I149" s="20"/>
      <x:c r="J149" s="20"/>
      <x:c r="K149" s="20"/>
      <x:c r="L149" s="20"/>
      <x:c r="M149" s="20"/>
      <x:c r="N149" s="20"/>
      <x:c r="O149" s="20"/>
      <x:c r="P149" s="20"/>
      <x:c r="Q149" s="20"/>
      <x:c r="R149" s="20"/>
      <x:c r="S149" s="20"/>
      <x:c r="T149" s="20"/>
      <x:c r="U149" s="20"/>
      <x:c r="V149" s="20"/>
      <x:c r="W149" s="20"/>
      <x:c r="X149" s="20"/>
      <x:c r="Y149" s="20"/>
      <x:c r="Z149" s="20"/>
    </x:row>
    <x:row r="150">
      <x:c r="A150" s="20"/>
      <x:c r="B150" s="20"/>
      <x:c r="C150" s="20"/>
      <x:c r="D150" s="20"/>
      <x:c r="E150" s="20"/>
      <x:c r="F150" s="20"/>
      <x:c r="G150" s="20"/>
      <x:c r="H150" s="20"/>
      <x:c r="I150" s="20"/>
      <x:c r="J150" s="20"/>
      <x:c r="K150" s="20"/>
      <x:c r="L150" s="20"/>
      <x:c r="M150" s="20"/>
      <x:c r="N150" s="20"/>
      <x:c r="O150" s="20"/>
      <x:c r="P150" s="20"/>
      <x:c r="Q150" s="20"/>
      <x:c r="R150" s="20"/>
      <x:c r="S150" s="20"/>
      <x:c r="T150" s="20"/>
      <x:c r="U150" s="20"/>
      <x:c r="V150" s="20"/>
      <x:c r="W150" s="20"/>
      <x:c r="X150" s="20"/>
      <x:c r="Y150" s="20"/>
      <x:c r="Z150" s="20"/>
    </x:row>
    <x:row r="151">
      <x:c r="A151" s="20"/>
      <x:c r="B151" s="20"/>
      <x:c r="C151" s="20"/>
      <x:c r="D151" s="20"/>
      <x:c r="E151" s="20"/>
      <x:c r="F151" s="20"/>
      <x:c r="G151" s="20"/>
      <x:c r="H151" s="20"/>
      <x:c r="I151" s="20"/>
      <x:c r="J151" s="20"/>
      <x:c r="K151" s="20"/>
      <x:c r="L151" s="20"/>
      <x:c r="M151" s="20"/>
      <x:c r="N151" s="20"/>
      <x:c r="O151" s="20"/>
      <x:c r="P151" s="20"/>
      <x:c r="Q151" s="20"/>
      <x:c r="R151" s="20"/>
      <x:c r="S151" s="20"/>
      <x:c r="T151" s="20"/>
      <x:c r="U151" s="20"/>
      <x:c r="V151" s="20"/>
      <x:c r="W151" s="20"/>
      <x:c r="X151" s="20"/>
      <x:c r="Y151" s="20"/>
      <x:c r="Z151" s="20"/>
    </x:row>
    <x:row r="152">
      <x:c r="A152" s="20"/>
      <x:c r="B152" s="20"/>
      <x:c r="C152" s="20"/>
      <x:c r="D152" s="20"/>
      <x:c r="E152" s="20"/>
      <x:c r="F152" s="20"/>
      <x:c r="G152" s="20"/>
      <x:c r="H152" s="20"/>
      <x:c r="I152" s="20"/>
      <x:c r="J152" s="20"/>
      <x:c r="K152" s="20"/>
      <x:c r="L152" s="20"/>
      <x:c r="M152" s="20"/>
      <x:c r="N152" s="20"/>
      <x:c r="O152" s="20"/>
      <x:c r="P152" s="20"/>
      <x:c r="Q152" s="20"/>
      <x:c r="R152" s="20"/>
      <x:c r="S152" s="20"/>
      <x:c r="T152" s="20"/>
      <x:c r="U152" s="20"/>
      <x:c r="V152" s="20"/>
      <x:c r="W152" s="20"/>
      <x:c r="X152" s="20"/>
      <x:c r="Y152" s="20"/>
      <x:c r="Z152" s="20"/>
    </x:row>
    <x:row r="153">
      <x:c r="A153" s="20"/>
      <x:c r="B153" s="20"/>
      <x:c r="C153" s="20"/>
      <x:c r="D153" s="20"/>
      <x:c r="E153" s="20"/>
      <x:c r="F153" s="20"/>
      <x:c r="G153" s="20"/>
      <x:c r="H153" s="20"/>
      <x:c r="I153" s="20"/>
      <x:c r="J153" s="20"/>
      <x:c r="K153" s="20"/>
      <x:c r="L153" s="20"/>
      <x:c r="M153" s="20"/>
      <x:c r="N153" s="20"/>
      <x:c r="O153" s="20"/>
      <x:c r="P153" s="20"/>
      <x:c r="Q153" s="20"/>
      <x:c r="R153" s="20"/>
      <x:c r="S153" s="20"/>
      <x:c r="T153" s="20"/>
      <x:c r="U153" s="20"/>
      <x:c r="V153" s="20"/>
      <x:c r="W153" s="20"/>
      <x:c r="X153" s="20"/>
      <x:c r="Y153" s="20"/>
      <x:c r="Z153" s="20"/>
    </x:row>
    <x:row r="154">
      <x:c r="A154" s="20"/>
      <x:c r="B154" s="20"/>
      <x:c r="C154" s="20"/>
      <x:c r="D154" s="20"/>
      <x:c r="E154" s="20"/>
      <x:c r="F154" s="20"/>
      <x:c r="G154" s="20"/>
      <x:c r="H154" s="20"/>
      <x:c r="I154" s="20"/>
      <x:c r="J154" s="20"/>
      <x:c r="K154" s="20"/>
      <x:c r="L154" s="20"/>
      <x:c r="M154" s="20"/>
      <x:c r="N154" s="20"/>
      <x:c r="O154" s="20"/>
      <x:c r="P154" s="20"/>
      <x:c r="Q154" s="20"/>
      <x:c r="R154" s="20"/>
      <x:c r="S154" s="20"/>
      <x:c r="T154" s="20"/>
      <x:c r="U154" s="20"/>
      <x:c r="V154" s="20"/>
      <x:c r="W154" s="20"/>
      <x:c r="X154" s="20"/>
      <x:c r="Y154" s="20"/>
      <x:c r="Z154" s="20"/>
    </x:row>
    <x:row r="155">
      <x:c r="A155" s="20"/>
      <x:c r="B155" s="20"/>
      <x:c r="C155" s="20"/>
      <x:c r="D155" s="20"/>
      <x:c r="E155" s="20"/>
      <x:c r="F155" s="20"/>
      <x:c r="G155" s="20"/>
      <x:c r="H155" s="20"/>
      <x:c r="I155" s="20"/>
      <x:c r="J155" s="20"/>
      <x:c r="K155" s="20"/>
      <x:c r="L155" s="20"/>
      <x:c r="M155" s="20"/>
      <x:c r="N155" s="20"/>
      <x:c r="O155" s="20"/>
      <x:c r="P155" s="20"/>
      <x:c r="Q155" s="20"/>
      <x:c r="R155" s="20"/>
      <x:c r="S155" s="20"/>
      <x:c r="T155" s="20"/>
      <x:c r="U155" s="20"/>
      <x:c r="V155" s="20"/>
      <x:c r="W155" s="20"/>
      <x:c r="X155" s="20"/>
      <x:c r="Y155" s="20"/>
      <x:c r="Z155" s="20"/>
    </x:row>
    <x:row r="156">
      <x:c r="A156" s="20"/>
      <x:c r="B156" s="20"/>
      <x:c r="C156" s="20"/>
      <x:c r="D156" s="20"/>
      <x:c r="E156" s="20"/>
      <x:c r="F156" s="20"/>
      <x:c r="G156" s="20"/>
      <x:c r="H156" s="20"/>
      <x:c r="I156" s="20"/>
      <x:c r="J156" s="20"/>
      <x:c r="K156" s="20"/>
      <x:c r="L156" s="20"/>
      <x:c r="M156" s="20"/>
      <x:c r="N156" s="20"/>
      <x:c r="O156" s="20"/>
      <x:c r="P156" s="20"/>
      <x:c r="Q156" s="20"/>
      <x:c r="R156" s="20"/>
      <x:c r="S156" s="20"/>
      <x:c r="T156" s="20"/>
      <x:c r="U156" s="20"/>
      <x:c r="V156" s="20"/>
      <x:c r="W156" s="20"/>
      <x:c r="X156" s="20"/>
      <x:c r="Y156" s="20"/>
      <x:c r="Z156" s="20"/>
    </x:row>
    <x:row r="157">
      <x:c r="A157" s="20"/>
      <x:c r="B157" s="20"/>
      <x:c r="C157" s="20"/>
      <x:c r="D157" s="20"/>
      <x:c r="E157" s="20"/>
      <x:c r="F157" s="20"/>
      <x:c r="G157" s="20"/>
      <x:c r="H157" s="20"/>
      <x:c r="I157" s="20"/>
      <x:c r="J157" s="20"/>
      <x:c r="K157" s="20"/>
      <x:c r="L157" s="20"/>
      <x:c r="M157" s="20"/>
      <x:c r="N157" s="20"/>
      <x:c r="O157" s="20"/>
      <x:c r="P157" s="20"/>
      <x:c r="Q157" s="20"/>
      <x:c r="R157" s="20"/>
      <x:c r="S157" s="20"/>
      <x:c r="T157" s="20"/>
      <x:c r="U157" s="20"/>
      <x:c r="V157" s="20"/>
      <x:c r="W157" s="20"/>
      <x:c r="X157" s="20"/>
      <x:c r="Y157" s="20"/>
      <x:c r="Z157" s="20"/>
    </x:row>
    <x:row r="158">
      <x:c r="A158" s="20"/>
      <x:c r="B158" s="20"/>
      <x:c r="C158" s="20"/>
      <x:c r="D158" s="20"/>
      <x:c r="E158" s="20"/>
      <x:c r="F158" s="20"/>
      <x:c r="G158" s="20"/>
      <x:c r="H158" s="20"/>
      <x:c r="I158" s="20"/>
      <x:c r="J158" s="20"/>
      <x:c r="K158" s="20"/>
      <x:c r="L158" s="20"/>
      <x:c r="M158" s="20"/>
      <x:c r="N158" s="20"/>
      <x:c r="O158" s="20"/>
      <x:c r="P158" s="20"/>
      <x:c r="Q158" s="20"/>
      <x:c r="R158" s="20"/>
      <x:c r="S158" s="20"/>
      <x:c r="T158" s="20"/>
      <x:c r="U158" s="20"/>
      <x:c r="V158" s="20"/>
      <x:c r="W158" s="20"/>
      <x:c r="X158" s="20"/>
      <x:c r="Y158" s="20"/>
      <x:c r="Z158" s="20"/>
    </x:row>
    <x:row r="159">
      <x:c r="A159" s="20"/>
      <x:c r="B159" s="20"/>
      <x:c r="C159" s="20"/>
      <x:c r="D159" s="20"/>
      <x:c r="E159" s="20"/>
      <x:c r="F159" s="20"/>
      <x:c r="G159" s="20"/>
      <x:c r="H159" s="20"/>
      <x:c r="I159" s="20"/>
      <x:c r="J159" s="20"/>
      <x:c r="K159" s="20"/>
      <x:c r="L159" s="20"/>
      <x:c r="M159" s="20"/>
      <x:c r="N159" s="20"/>
      <x:c r="O159" s="20"/>
      <x:c r="P159" s="20"/>
      <x:c r="Q159" s="20"/>
      <x:c r="R159" s="20"/>
      <x:c r="S159" s="20"/>
      <x:c r="T159" s="20"/>
      <x:c r="U159" s="20"/>
      <x:c r="V159" s="20"/>
      <x:c r="W159" s="20"/>
      <x:c r="X159" s="20"/>
      <x:c r="Y159" s="20"/>
      <x:c r="Z159" s="20"/>
    </x:row>
    <x:row r="160">
      <x:c r="A160" s="20"/>
      <x:c r="B160" s="20"/>
      <x:c r="C160" s="20"/>
      <x:c r="D160" s="20"/>
      <x:c r="E160" s="20"/>
      <x:c r="F160" s="20"/>
      <x:c r="G160" s="20"/>
      <x:c r="H160" s="20"/>
      <x:c r="I160" s="20"/>
      <x:c r="J160" s="20"/>
      <x:c r="K160" s="20"/>
      <x:c r="L160" s="20"/>
      <x:c r="M160" s="20"/>
      <x:c r="N160" s="20"/>
      <x:c r="O160" s="20"/>
      <x:c r="P160" s="20"/>
      <x:c r="Q160" s="20"/>
      <x:c r="R160" s="20"/>
      <x:c r="S160" s="20"/>
      <x:c r="T160" s="20"/>
      <x:c r="U160" s="20"/>
      <x:c r="V160" s="20"/>
      <x:c r="W160" s="20"/>
      <x:c r="X160" s="20"/>
      <x:c r="Y160" s="20"/>
      <x:c r="Z160" s="20"/>
    </x:row>
    <x:row r="161">
      <x:c r="A161" s="20"/>
      <x:c r="B161" s="20"/>
      <x:c r="C161" s="20"/>
      <x:c r="D161" s="20"/>
      <x:c r="E161" s="20"/>
      <x:c r="F161" s="20"/>
      <x:c r="G161" s="20"/>
      <x:c r="H161" s="20"/>
      <x:c r="I161" s="20"/>
      <x:c r="J161" s="20"/>
      <x:c r="K161" s="20"/>
      <x:c r="L161" s="20"/>
      <x:c r="M161" s="20"/>
      <x:c r="N161" s="20"/>
      <x:c r="O161" s="20"/>
      <x:c r="P161" s="20"/>
      <x:c r="Q161" s="20"/>
      <x:c r="R161" s="20"/>
      <x:c r="S161" s="20"/>
      <x:c r="T161" s="20"/>
      <x:c r="U161" s="20"/>
      <x:c r="V161" s="20"/>
      <x:c r="W161" s="20"/>
      <x:c r="X161" s="20"/>
      <x:c r="Y161" s="20"/>
      <x:c r="Z161" s="20"/>
    </x:row>
    <x:row r="162">
      <x:c r="A162" s="20"/>
      <x:c r="B162" s="20"/>
      <x:c r="C162" s="20"/>
      <x:c r="D162" s="20"/>
      <x:c r="E162" s="20"/>
      <x:c r="F162" s="20"/>
      <x:c r="G162" s="20"/>
      <x:c r="H162" s="20"/>
      <x:c r="I162" s="20"/>
      <x:c r="J162" s="20"/>
      <x:c r="K162" s="20"/>
      <x:c r="L162" s="20"/>
      <x:c r="M162" s="20"/>
      <x:c r="N162" s="20"/>
      <x:c r="O162" s="20"/>
      <x:c r="P162" s="20"/>
      <x:c r="Q162" s="20"/>
      <x:c r="R162" s="20"/>
      <x:c r="S162" s="20"/>
      <x:c r="T162" s="20"/>
      <x:c r="U162" s="20"/>
      <x:c r="V162" s="20"/>
      <x:c r="W162" s="20"/>
      <x:c r="X162" s="20"/>
      <x:c r="Y162" s="20"/>
      <x:c r="Z162" s="20"/>
    </x:row>
    <x:row r="163">
      <x:c r="A163" s="20"/>
      <x:c r="B163" s="20"/>
      <x:c r="C163" s="20"/>
      <x:c r="D163" s="20"/>
      <x:c r="E163" s="20"/>
      <x:c r="F163" s="20"/>
      <x:c r="G163" s="20"/>
      <x:c r="H163" s="20"/>
      <x:c r="I163" s="20"/>
      <x:c r="J163" s="20"/>
      <x:c r="K163" s="20"/>
      <x:c r="L163" s="20"/>
      <x:c r="M163" s="20"/>
      <x:c r="N163" s="20"/>
      <x:c r="O163" s="20"/>
      <x:c r="P163" s="20"/>
      <x:c r="Q163" s="20"/>
      <x:c r="R163" s="20"/>
      <x:c r="S163" s="20"/>
      <x:c r="T163" s="20"/>
      <x:c r="U163" s="20"/>
      <x:c r="V163" s="20"/>
      <x:c r="W163" s="20"/>
      <x:c r="X163" s="20"/>
      <x:c r="Y163" s="20"/>
      <x:c r="Z163" s="20"/>
    </x:row>
    <x:row r="164">
      <x:c r="A164" s="20"/>
      <x:c r="B164" s="20"/>
      <x:c r="C164" s="20"/>
      <x:c r="D164" s="20"/>
      <x:c r="E164" s="20"/>
      <x:c r="F164" s="20"/>
      <x:c r="G164" s="20"/>
      <x:c r="H164" s="20"/>
      <x:c r="I164" s="20"/>
      <x:c r="J164" s="20"/>
      <x:c r="K164" s="20"/>
      <x:c r="L164" s="20"/>
      <x:c r="M164" s="20"/>
      <x:c r="N164" s="20"/>
      <x:c r="O164" s="20"/>
      <x:c r="P164" s="20"/>
      <x:c r="Q164" s="20"/>
      <x:c r="R164" s="20"/>
      <x:c r="S164" s="20"/>
      <x:c r="T164" s="20"/>
      <x:c r="U164" s="20"/>
      <x:c r="V164" s="20"/>
      <x:c r="W164" s="20"/>
      <x:c r="X164" s="20"/>
      <x:c r="Y164" s="20"/>
      <x:c r="Z164" s="20"/>
    </x:row>
    <x:row r="165">
      <x:c r="A165" s="20"/>
      <x:c r="B165" s="20"/>
      <x:c r="C165" s="20"/>
      <x:c r="D165" s="20"/>
      <x:c r="E165" s="20"/>
      <x:c r="F165" s="20"/>
      <x:c r="G165" s="20"/>
      <x:c r="H165" s="20"/>
      <x:c r="I165" s="20"/>
      <x:c r="J165" s="20"/>
      <x:c r="K165" s="20"/>
      <x:c r="L165" s="20"/>
      <x:c r="M165" s="20"/>
      <x:c r="N165" s="20"/>
      <x:c r="O165" s="20"/>
      <x:c r="P165" s="20"/>
      <x:c r="Q165" s="20"/>
      <x:c r="R165" s="20"/>
      <x:c r="S165" s="20"/>
      <x:c r="T165" s="20"/>
      <x:c r="U165" s="20"/>
      <x:c r="V165" s="20"/>
      <x:c r="W165" s="20"/>
      <x:c r="X165" s="20"/>
      <x:c r="Y165" s="20"/>
      <x:c r="Z165" s="20"/>
    </x:row>
    <x:row r="166">
      <x:c r="A166" s="20"/>
      <x:c r="B166" s="20"/>
      <x:c r="C166" s="20"/>
      <x:c r="D166" s="20"/>
      <x:c r="E166" s="20"/>
      <x:c r="F166" s="20"/>
      <x:c r="G166" s="20"/>
      <x:c r="H166" s="20"/>
      <x:c r="I166" s="20"/>
      <x:c r="J166" s="20"/>
      <x:c r="K166" s="20"/>
      <x:c r="L166" s="20"/>
      <x:c r="M166" s="20"/>
      <x:c r="N166" s="20"/>
      <x:c r="O166" s="20"/>
      <x:c r="P166" s="20"/>
      <x:c r="Q166" s="20"/>
      <x:c r="R166" s="20"/>
      <x:c r="S166" s="20"/>
      <x:c r="T166" s="20"/>
      <x:c r="U166" s="20"/>
      <x:c r="V166" s="20"/>
      <x:c r="W166" s="20"/>
      <x:c r="X166" s="20"/>
      <x:c r="Y166" s="20"/>
      <x:c r="Z166" s="20"/>
    </x:row>
    <x:row r="167">
      <x:c r="A167" s="20"/>
      <x:c r="B167" s="20"/>
      <x:c r="C167" s="20"/>
      <x:c r="D167" s="20"/>
      <x:c r="E167" s="20"/>
      <x:c r="F167" s="20"/>
      <x:c r="G167" s="20"/>
      <x:c r="H167" s="20"/>
      <x:c r="I167" s="20"/>
      <x:c r="J167" s="20"/>
      <x:c r="K167" s="20"/>
      <x:c r="L167" s="20"/>
      <x:c r="M167" s="20"/>
      <x:c r="N167" s="20"/>
      <x:c r="O167" s="20"/>
      <x:c r="P167" s="20"/>
      <x:c r="Q167" s="20"/>
      <x:c r="R167" s="20"/>
      <x:c r="S167" s="20"/>
      <x:c r="T167" s="20"/>
      <x:c r="U167" s="20"/>
      <x:c r="V167" s="20"/>
      <x:c r="W167" s="20"/>
      <x:c r="X167" s="20"/>
      <x:c r="Y167" s="20"/>
      <x:c r="Z167" s="20"/>
    </x:row>
    <x:row r="168">
      <x:c r="A168" s="20"/>
      <x:c r="B168" s="20"/>
      <x:c r="C168" s="20"/>
      <x:c r="D168" s="20"/>
      <x:c r="E168" s="20"/>
      <x:c r="F168" s="20"/>
      <x:c r="G168" s="20"/>
      <x:c r="H168" s="20"/>
      <x:c r="I168" s="20"/>
      <x:c r="J168" s="20"/>
      <x:c r="K168" s="20"/>
      <x:c r="L168" s="20"/>
      <x:c r="M168" s="20"/>
      <x:c r="N168" s="20"/>
      <x:c r="O168" s="20"/>
      <x:c r="P168" s="20"/>
      <x:c r="Q168" s="20"/>
      <x:c r="R168" s="20"/>
      <x:c r="S168" s="20"/>
      <x:c r="T168" s="20"/>
      <x:c r="U168" s="20"/>
      <x:c r="V168" s="20"/>
      <x:c r="W168" s="20"/>
      <x:c r="X168" s="20"/>
      <x:c r="Y168" s="20"/>
      <x:c r="Z168" s="20"/>
    </x:row>
    <x:row r="169">
      <x:c r="A169" s="20"/>
      <x:c r="B169" s="20"/>
      <x:c r="C169" s="20"/>
      <x:c r="D169" s="20"/>
      <x:c r="E169" s="20"/>
      <x:c r="F169" s="20"/>
      <x:c r="G169" s="20"/>
      <x:c r="H169" s="20"/>
      <x:c r="I169" s="20"/>
      <x:c r="J169" s="20"/>
      <x:c r="K169" s="20"/>
      <x:c r="L169" s="20"/>
      <x:c r="M169" s="20"/>
      <x:c r="N169" s="20"/>
      <x:c r="O169" s="20"/>
      <x:c r="P169" s="20"/>
      <x:c r="Q169" s="20"/>
      <x:c r="R169" s="20"/>
      <x:c r="S169" s="20"/>
      <x:c r="T169" s="20"/>
      <x:c r="U169" s="20"/>
      <x:c r="V169" s="20"/>
      <x:c r="W169" s="20"/>
      <x:c r="X169" s="20"/>
      <x:c r="Y169" s="20"/>
      <x:c r="Z169" s="20"/>
    </x:row>
    <x:row r="170">
      <x:c r="A170" s="20"/>
      <x:c r="B170" s="20"/>
      <x:c r="C170" s="20"/>
      <x:c r="D170" s="20"/>
      <x:c r="E170" s="20"/>
      <x:c r="F170" s="20"/>
      <x:c r="G170" s="20"/>
      <x:c r="H170" s="20"/>
      <x:c r="I170" s="20"/>
      <x:c r="J170" s="20"/>
      <x:c r="K170" s="20"/>
      <x:c r="L170" s="20"/>
      <x:c r="M170" s="20"/>
      <x:c r="N170" s="20"/>
      <x:c r="O170" s="20"/>
      <x:c r="P170" s="20"/>
      <x:c r="Q170" s="20"/>
      <x:c r="R170" s="20"/>
      <x:c r="S170" s="20"/>
      <x:c r="T170" s="20"/>
      <x:c r="U170" s="20"/>
      <x:c r="V170" s="20"/>
      <x:c r="W170" s="20"/>
      <x:c r="X170" s="20"/>
      <x:c r="Y170" s="20"/>
      <x:c r="Z170" s="20"/>
    </x:row>
    <x:row r="171">
      <x:c r="A171" s="20"/>
      <x:c r="B171" s="20"/>
      <x:c r="C171" s="20"/>
      <x:c r="D171" s="20"/>
      <x:c r="E171" s="20"/>
      <x:c r="F171" s="20"/>
      <x:c r="G171" s="20"/>
      <x:c r="H171" s="20"/>
      <x:c r="I171" s="20"/>
      <x:c r="J171" s="20"/>
      <x:c r="K171" s="20"/>
      <x:c r="L171" s="20"/>
      <x:c r="M171" s="20"/>
      <x:c r="N171" s="20"/>
      <x:c r="O171" s="20"/>
      <x:c r="P171" s="20"/>
      <x:c r="Q171" s="20"/>
      <x:c r="R171" s="20"/>
      <x:c r="S171" s="20"/>
      <x:c r="T171" s="20"/>
      <x:c r="U171" s="20"/>
      <x:c r="V171" s="20"/>
      <x:c r="W171" s="20"/>
      <x:c r="X171" s="20"/>
      <x:c r="Y171" s="20"/>
      <x:c r="Z171" s="20"/>
    </x:row>
    <x:row r="172">
      <x:c r="A172" s="20"/>
      <x:c r="B172" s="20"/>
      <x:c r="C172" s="20"/>
      <x:c r="D172" s="20"/>
      <x:c r="E172" s="20"/>
      <x:c r="F172" s="20"/>
      <x:c r="G172" s="20"/>
      <x:c r="H172" s="20"/>
      <x:c r="I172" s="20"/>
      <x:c r="J172" s="20"/>
      <x:c r="K172" s="20"/>
      <x:c r="L172" s="20"/>
      <x:c r="M172" s="20"/>
      <x:c r="N172" s="20"/>
      <x:c r="O172" s="20"/>
      <x:c r="P172" s="20"/>
      <x:c r="Q172" s="20"/>
      <x:c r="R172" s="20"/>
      <x:c r="S172" s="20"/>
      <x:c r="T172" s="20"/>
      <x:c r="U172" s="20"/>
      <x:c r="V172" s="20"/>
      <x:c r="W172" s="20"/>
      <x:c r="X172" s="20"/>
      <x:c r="Y172" s="20"/>
      <x:c r="Z172" s="20"/>
    </x:row>
    <x:row r="173">
      <x:c r="A173" s="20"/>
      <x:c r="B173" s="20"/>
      <x:c r="C173" s="20"/>
      <x:c r="D173" s="20"/>
      <x:c r="E173" s="20"/>
      <x:c r="F173" s="20"/>
      <x:c r="G173" s="20"/>
      <x:c r="H173" s="20"/>
      <x:c r="I173" s="20"/>
      <x:c r="J173" s="20"/>
      <x:c r="K173" s="20"/>
      <x:c r="L173" s="20"/>
      <x:c r="M173" s="20"/>
      <x:c r="N173" s="20"/>
      <x:c r="O173" s="20"/>
      <x:c r="P173" s="20"/>
      <x:c r="Q173" s="20"/>
      <x:c r="R173" s="20"/>
      <x:c r="S173" s="20"/>
      <x:c r="T173" s="20"/>
      <x:c r="U173" s="20"/>
      <x:c r="V173" s="20"/>
      <x:c r="W173" s="20"/>
      <x:c r="X173" s="20"/>
      <x:c r="Y173" s="20"/>
      <x:c r="Z173" s="20"/>
    </x:row>
    <x:row r="174">
      <x:c r="A174" s="20"/>
      <x:c r="B174" s="20"/>
      <x:c r="C174" s="20"/>
      <x:c r="D174" s="20"/>
      <x:c r="E174" s="20"/>
      <x:c r="F174" s="20"/>
      <x:c r="G174" s="20"/>
      <x:c r="H174" s="20"/>
      <x:c r="I174" s="20"/>
      <x:c r="J174" s="20"/>
      <x:c r="K174" s="20"/>
      <x:c r="L174" s="20"/>
      <x:c r="M174" s="20"/>
      <x:c r="N174" s="20"/>
      <x:c r="O174" s="20"/>
      <x:c r="P174" s="20"/>
      <x:c r="Q174" s="20"/>
      <x:c r="R174" s="20"/>
      <x:c r="S174" s="20"/>
      <x:c r="T174" s="20"/>
      <x:c r="U174" s="20"/>
      <x:c r="V174" s="20"/>
      <x:c r="W174" s="20"/>
      <x:c r="X174" s="20"/>
      <x:c r="Y174" s="20"/>
      <x:c r="Z174" s="20"/>
    </x:row>
    <x:row r="175">
      <x:c r="A175" s="20"/>
      <x:c r="B175" s="20"/>
      <x:c r="C175" s="20"/>
      <x:c r="D175" s="20"/>
      <x:c r="E175" s="20"/>
      <x:c r="F175" s="20"/>
      <x:c r="G175" s="20"/>
      <x:c r="H175" s="20"/>
      <x:c r="I175" s="20"/>
      <x:c r="J175" s="20"/>
      <x:c r="K175" s="20"/>
      <x:c r="L175" s="20"/>
      <x:c r="M175" s="20"/>
      <x:c r="N175" s="20"/>
      <x:c r="O175" s="20"/>
      <x:c r="P175" s="20"/>
      <x:c r="Q175" s="20"/>
      <x:c r="R175" s="20"/>
      <x:c r="S175" s="20"/>
      <x:c r="T175" s="20"/>
      <x:c r="U175" s="20"/>
      <x:c r="V175" s="20"/>
      <x:c r="W175" s="20"/>
      <x:c r="X175" s="20"/>
      <x:c r="Y175" s="20"/>
      <x:c r="Z175" s="20"/>
    </x:row>
    <x:row r="176">
      <x:c r="A176" s="20"/>
      <x:c r="B176" s="20"/>
      <x:c r="C176" s="20"/>
      <x:c r="D176" s="20"/>
      <x:c r="E176" s="20"/>
      <x:c r="F176" s="20"/>
      <x:c r="G176" s="20"/>
      <x:c r="H176" s="20"/>
      <x:c r="I176" s="20"/>
      <x:c r="J176" s="20"/>
      <x:c r="K176" s="20"/>
      <x:c r="L176" s="20"/>
      <x:c r="M176" s="20"/>
      <x:c r="N176" s="20"/>
      <x:c r="O176" s="20"/>
      <x:c r="P176" s="20"/>
      <x:c r="Q176" s="20"/>
      <x:c r="R176" s="20"/>
      <x:c r="S176" s="20"/>
      <x:c r="T176" s="20"/>
      <x:c r="U176" s="20"/>
      <x:c r="V176" s="20"/>
      <x:c r="W176" s="20"/>
      <x:c r="X176" s="20"/>
      <x:c r="Y176" s="20"/>
      <x:c r="Z176" s="20"/>
    </x:row>
    <x:row r="177">
      <x:c r="A177" s="20"/>
      <x:c r="B177" s="20"/>
      <x:c r="C177" s="20"/>
      <x:c r="D177" s="20"/>
      <x:c r="E177" s="20"/>
      <x:c r="F177" s="20"/>
      <x:c r="G177" s="20"/>
      <x:c r="H177" s="20"/>
      <x:c r="I177" s="20"/>
      <x:c r="J177" s="20"/>
      <x:c r="K177" s="20"/>
      <x:c r="L177" s="20"/>
      <x:c r="M177" s="20"/>
      <x:c r="N177" s="20"/>
      <x:c r="O177" s="20"/>
      <x:c r="P177" s="20"/>
      <x:c r="Q177" s="20"/>
      <x:c r="R177" s="20"/>
      <x:c r="S177" s="20"/>
      <x:c r="T177" s="20"/>
      <x:c r="U177" s="20"/>
      <x:c r="V177" s="20"/>
      <x:c r="W177" s="20"/>
      <x:c r="X177" s="20"/>
      <x:c r="Y177" s="20"/>
      <x:c r="Z177" s="20"/>
    </x:row>
    <x:row r="178">
      <x:c r="A178" s="20"/>
      <x:c r="B178" s="20"/>
      <x:c r="C178" s="20"/>
      <x:c r="D178" s="20"/>
      <x:c r="E178" s="20"/>
      <x:c r="F178" s="20"/>
      <x:c r="G178" s="20"/>
      <x:c r="H178" s="20"/>
      <x:c r="I178" s="20"/>
      <x:c r="J178" s="20"/>
      <x:c r="K178" s="20"/>
      <x:c r="L178" s="20"/>
      <x:c r="M178" s="20"/>
      <x:c r="N178" s="20"/>
      <x:c r="O178" s="20"/>
      <x:c r="P178" s="20"/>
      <x:c r="Q178" s="20"/>
      <x:c r="R178" s="20"/>
      <x:c r="S178" s="20"/>
      <x:c r="T178" s="20"/>
      <x:c r="U178" s="20"/>
      <x:c r="V178" s="20"/>
      <x:c r="W178" s="20"/>
      <x:c r="X178" s="20"/>
      <x:c r="Y178" s="20"/>
      <x:c r="Z178" s="20"/>
    </x:row>
    <x:row r="179">
      <x:c r="A179" s="20"/>
      <x:c r="B179" s="20"/>
      <x:c r="C179" s="20"/>
      <x:c r="D179" s="20"/>
      <x:c r="E179" s="20"/>
      <x:c r="F179" s="20"/>
      <x:c r="G179" s="20"/>
      <x:c r="H179" s="20"/>
      <x:c r="I179" s="20"/>
      <x:c r="J179" s="20"/>
      <x:c r="K179" s="20"/>
      <x:c r="L179" s="20"/>
      <x:c r="M179" s="20"/>
      <x:c r="N179" s="20"/>
      <x:c r="O179" s="20"/>
      <x:c r="P179" s="20"/>
      <x:c r="Q179" s="20"/>
      <x:c r="R179" s="20"/>
      <x:c r="S179" s="20"/>
      <x:c r="T179" s="20"/>
      <x:c r="U179" s="20"/>
      <x:c r="V179" s="20"/>
      <x:c r="W179" s="20"/>
      <x:c r="X179" s="20"/>
      <x:c r="Y179" s="20"/>
      <x:c r="Z179" s="20"/>
    </x:row>
    <x:row r="180">
      <x:c r="A180" s="20"/>
      <x:c r="B180" s="20"/>
      <x:c r="C180" s="20"/>
      <x:c r="D180" s="20"/>
      <x:c r="E180" s="20"/>
      <x:c r="F180" s="20"/>
      <x:c r="G180" s="20"/>
      <x:c r="H180" s="20"/>
      <x:c r="I180" s="20"/>
      <x:c r="J180" s="20"/>
      <x:c r="K180" s="20"/>
      <x:c r="L180" s="20"/>
      <x:c r="M180" s="20"/>
      <x:c r="N180" s="20"/>
      <x:c r="O180" s="20"/>
      <x:c r="P180" s="20"/>
      <x:c r="Q180" s="20"/>
      <x:c r="R180" s="20"/>
      <x:c r="S180" s="20"/>
      <x:c r="T180" s="20"/>
      <x:c r="U180" s="20"/>
      <x:c r="V180" s="20"/>
      <x:c r="W180" s="20"/>
      <x:c r="X180" s="20"/>
      <x:c r="Y180" s="20"/>
      <x:c r="Z180" s="20"/>
    </x:row>
    <x:row r="181">
      <x:c r="A181" s="20"/>
      <x:c r="B181" s="20"/>
      <x:c r="C181" s="20"/>
      <x:c r="D181" s="20"/>
      <x:c r="E181" s="20"/>
      <x:c r="F181" s="20"/>
      <x:c r="G181" s="20"/>
      <x:c r="H181" s="20"/>
      <x:c r="I181" s="20"/>
      <x:c r="J181" s="20"/>
      <x:c r="K181" s="20"/>
      <x:c r="L181" s="20"/>
      <x:c r="M181" s="20"/>
      <x:c r="N181" s="20"/>
      <x:c r="O181" s="20"/>
      <x:c r="P181" s="20"/>
      <x:c r="Q181" s="20"/>
      <x:c r="R181" s="20"/>
      <x:c r="S181" s="20"/>
      <x:c r="T181" s="20"/>
      <x:c r="U181" s="20"/>
      <x:c r="V181" s="20"/>
      <x:c r="W181" s="20"/>
      <x:c r="X181" s="20"/>
      <x:c r="Y181" s="20"/>
      <x:c r="Z181" s="20"/>
    </x:row>
    <x:row r="182">
      <x:c r="A182" s="20"/>
      <x:c r="B182" s="20"/>
      <x:c r="C182" s="20"/>
      <x:c r="D182" s="20"/>
      <x:c r="E182" s="20"/>
      <x:c r="F182" s="20"/>
      <x:c r="G182" s="20"/>
      <x:c r="H182" s="20"/>
      <x:c r="I182" s="20"/>
      <x:c r="J182" s="20"/>
      <x:c r="K182" s="20"/>
      <x:c r="L182" s="20"/>
      <x:c r="M182" s="20"/>
      <x:c r="N182" s="20"/>
      <x:c r="O182" s="20"/>
      <x:c r="P182" s="20"/>
      <x:c r="Q182" s="20"/>
      <x:c r="R182" s="20"/>
      <x:c r="S182" s="20"/>
      <x:c r="T182" s="20"/>
      <x:c r="U182" s="20"/>
      <x:c r="V182" s="20"/>
      <x:c r="W182" s="20"/>
      <x:c r="X182" s="20"/>
      <x:c r="Y182" s="20"/>
      <x:c r="Z182" s="20"/>
    </x:row>
    <x:row r="183">
      <x:c r="A183" s="20"/>
      <x:c r="B183" s="20"/>
      <x:c r="C183" s="20"/>
      <x:c r="D183" s="20"/>
      <x:c r="E183" s="20"/>
      <x:c r="F183" s="20"/>
      <x:c r="G183" s="20"/>
      <x:c r="H183" s="20"/>
      <x:c r="I183" s="20"/>
      <x:c r="J183" s="20"/>
      <x:c r="K183" s="20"/>
      <x:c r="L183" s="20"/>
      <x:c r="M183" s="20"/>
      <x:c r="N183" s="20"/>
      <x:c r="O183" s="20"/>
      <x:c r="P183" s="20"/>
      <x:c r="Q183" s="20"/>
      <x:c r="R183" s="20"/>
      <x:c r="S183" s="20"/>
      <x:c r="T183" s="20"/>
      <x:c r="U183" s="20"/>
      <x:c r="V183" s="20"/>
      <x:c r="W183" s="20"/>
      <x:c r="X183" s="20"/>
      <x:c r="Y183" s="20"/>
      <x:c r="Z183" s="20"/>
    </x:row>
    <x:row r="184">
      <x:c r="A184" s="20"/>
      <x:c r="B184" s="20"/>
      <x:c r="C184" s="20"/>
      <x:c r="D184" s="20"/>
      <x:c r="E184" s="20"/>
      <x:c r="F184" s="20"/>
      <x:c r="G184" s="20"/>
      <x:c r="H184" s="20"/>
      <x:c r="I184" s="20"/>
      <x:c r="J184" s="20"/>
      <x:c r="K184" s="20"/>
      <x:c r="L184" s="20"/>
      <x:c r="M184" s="20"/>
      <x:c r="N184" s="20"/>
      <x:c r="O184" s="20"/>
      <x:c r="P184" s="20"/>
      <x:c r="Q184" s="20"/>
      <x:c r="R184" s="20"/>
      <x:c r="S184" s="20"/>
      <x:c r="T184" s="20"/>
      <x:c r="U184" s="20"/>
      <x:c r="V184" s="20"/>
      <x:c r="W184" s="20"/>
      <x:c r="X184" s="20"/>
      <x:c r="Y184" s="20"/>
      <x:c r="Z184" s="20"/>
    </x:row>
    <x:row r="185">
      <x:c r="A185" s="20"/>
      <x:c r="B185" s="20"/>
      <x:c r="C185" s="20"/>
      <x:c r="D185" s="20"/>
      <x:c r="E185" s="20"/>
      <x:c r="F185" s="20"/>
      <x:c r="G185" s="20"/>
      <x:c r="H185" s="20"/>
      <x:c r="I185" s="20"/>
      <x:c r="J185" s="20"/>
      <x:c r="K185" s="20"/>
      <x:c r="L185" s="20"/>
      <x:c r="M185" s="20"/>
      <x:c r="N185" s="20"/>
      <x:c r="O185" s="20"/>
      <x:c r="P185" s="20"/>
      <x:c r="Q185" s="20"/>
      <x:c r="R185" s="20"/>
      <x:c r="S185" s="20"/>
      <x:c r="T185" s="20"/>
      <x:c r="U185" s="20"/>
      <x:c r="V185" s="20"/>
      <x:c r="W185" s="20"/>
      <x:c r="X185" s="20"/>
      <x:c r="Y185" s="20"/>
      <x:c r="Z185" s="20"/>
    </x:row>
    <x:row r="186">
      <x:c r="A186" s="20"/>
      <x:c r="B186" s="20"/>
      <x:c r="C186" s="20"/>
      <x:c r="D186" s="20"/>
      <x:c r="E186" s="20"/>
      <x:c r="F186" s="20"/>
      <x:c r="G186" s="20"/>
      <x:c r="H186" s="20"/>
      <x:c r="I186" s="20"/>
      <x:c r="J186" s="20"/>
      <x:c r="K186" s="20"/>
      <x:c r="L186" s="20"/>
      <x:c r="M186" s="20"/>
      <x:c r="N186" s="20"/>
      <x:c r="O186" s="20"/>
      <x:c r="P186" s="20"/>
      <x:c r="Q186" s="20"/>
      <x:c r="R186" s="20"/>
      <x:c r="S186" s="20"/>
      <x:c r="T186" s="20"/>
      <x:c r="U186" s="20"/>
      <x:c r="V186" s="20"/>
      <x:c r="W186" s="20"/>
      <x:c r="X186" s="20"/>
      <x:c r="Y186" s="20"/>
      <x:c r="Z186" s="20"/>
    </x:row>
    <x:row r="187">
      <x:c r="A187" s="20"/>
      <x:c r="B187" s="20"/>
      <x:c r="C187" s="20"/>
      <x:c r="D187" s="20"/>
      <x:c r="E187" s="20"/>
      <x:c r="F187" s="20"/>
      <x:c r="G187" s="20"/>
      <x:c r="H187" s="20"/>
      <x:c r="I187" s="20"/>
      <x:c r="J187" s="20"/>
      <x:c r="K187" s="20"/>
      <x:c r="L187" s="20"/>
      <x:c r="M187" s="20"/>
      <x:c r="N187" s="20"/>
      <x:c r="O187" s="20"/>
      <x:c r="P187" s="20"/>
      <x:c r="Q187" s="20"/>
      <x:c r="R187" s="20"/>
      <x:c r="S187" s="20"/>
      <x:c r="T187" s="20"/>
      <x:c r="U187" s="20"/>
      <x:c r="V187" s="20"/>
      <x:c r="W187" s="20"/>
      <x:c r="X187" s="20"/>
      <x:c r="Y187" s="20"/>
      <x:c r="Z187" s="20"/>
    </x:row>
    <x:row r="188">
      <x:c r="A188" s="20"/>
      <x:c r="B188" s="20"/>
      <x:c r="C188" s="20"/>
      <x:c r="D188" s="20"/>
      <x:c r="E188" s="20"/>
      <x:c r="F188" s="20"/>
      <x:c r="G188" s="20"/>
      <x:c r="H188" s="20"/>
      <x:c r="I188" s="20"/>
      <x:c r="J188" s="20"/>
      <x:c r="K188" s="20"/>
      <x:c r="L188" s="20"/>
      <x:c r="M188" s="20"/>
      <x:c r="N188" s="20"/>
      <x:c r="O188" s="20"/>
      <x:c r="P188" s="20"/>
      <x:c r="Q188" s="20"/>
      <x:c r="R188" s="20"/>
      <x:c r="S188" s="20"/>
      <x:c r="T188" s="20"/>
      <x:c r="U188" s="20"/>
      <x:c r="V188" s="20"/>
      <x:c r="W188" s="20"/>
      <x:c r="X188" s="20"/>
      <x:c r="Y188" s="20"/>
      <x:c r="Z188" s="20"/>
    </x:row>
    <x:row r="189">
      <x:c r="A189" s="20"/>
      <x:c r="B189" s="20"/>
      <x:c r="C189" s="20"/>
      <x:c r="D189" s="20"/>
      <x:c r="E189" s="20"/>
      <x:c r="F189" s="20"/>
      <x:c r="G189" s="20"/>
      <x:c r="H189" s="20"/>
      <x:c r="I189" s="20"/>
      <x:c r="J189" s="20"/>
      <x:c r="K189" s="20"/>
      <x:c r="L189" s="20"/>
      <x:c r="M189" s="20"/>
      <x:c r="N189" s="20"/>
      <x:c r="O189" s="20"/>
      <x:c r="P189" s="20"/>
      <x:c r="Q189" s="20"/>
      <x:c r="R189" s="20"/>
      <x:c r="S189" s="20"/>
      <x:c r="T189" s="20"/>
      <x:c r="U189" s="20"/>
      <x:c r="V189" s="20"/>
      <x:c r="W189" s="20"/>
      <x:c r="X189" s="20"/>
      <x:c r="Y189" s="20"/>
      <x:c r="Z189" s="20"/>
    </x:row>
    <x:row r="190">
      <x:c r="A190" s="20"/>
      <x:c r="B190" s="20"/>
      <x:c r="C190" s="20"/>
      <x:c r="D190" s="20"/>
      <x:c r="E190" s="20"/>
      <x:c r="F190" s="20"/>
      <x:c r="G190" s="20"/>
      <x:c r="H190" s="20"/>
      <x:c r="I190" s="20"/>
      <x:c r="J190" s="20"/>
      <x:c r="K190" s="20"/>
      <x:c r="L190" s="20"/>
      <x:c r="M190" s="20"/>
      <x:c r="N190" s="20"/>
      <x:c r="O190" s="20"/>
      <x:c r="P190" s="20"/>
      <x:c r="Q190" s="20"/>
      <x:c r="R190" s="20"/>
      <x:c r="S190" s="20"/>
      <x:c r="T190" s="20"/>
      <x:c r="U190" s="20"/>
      <x:c r="V190" s="20"/>
      <x:c r="W190" s="20"/>
      <x:c r="X190" s="20"/>
      <x:c r="Y190" s="20"/>
      <x:c r="Z190" s="20"/>
    </x:row>
    <x:row r="191">
      <x:c r="A191" s="20"/>
      <x:c r="B191" s="20"/>
      <x:c r="C191" s="20"/>
      <x:c r="D191" s="20"/>
      <x:c r="E191" s="20"/>
      <x:c r="F191" s="20"/>
      <x:c r="G191" s="20"/>
      <x:c r="H191" s="20"/>
      <x:c r="I191" s="20"/>
      <x:c r="J191" s="20"/>
      <x:c r="K191" s="20"/>
      <x:c r="L191" s="20"/>
      <x:c r="M191" s="20"/>
      <x:c r="N191" s="20"/>
      <x:c r="O191" s="20"/>
      <x:c r="P191" s="20"/>
      <x:c r="Q191" s="20"/>
      <x:c r="R191" s="20"/>
      <x:c r="S191" s="20"/>
      <x:c r="T191" s="20"/>
      <x:c r="U191" s="20"/>
      <x:c r="V191" s="20"/>
      <x:c r="W191" s="20"/>
      <x:c r="X191" s="20"/>
      <x:c r="Y191" s="20"/>
      <x:c r="Z191" s="20"/>
    </x:row>
    <x:row r="192">
      <x:c r="A192" s="20"/>
      <x:c r="B192" s="20"/>
      <x:c r="C192" s="20"/>
      <x:c r="D192" s="20"/>
      <x:c r="E192" s="20"/>
      <x:c r="F192" s="20"/>
      <x:c r="G192" s="20"/>
      <x:c r="H192" s="20"/>
      <x:c r="I192" s="20"/>
      <x:c r="J192" s="20"/>
      <x:c r="K192" s="20"/>
      <x:c r="L192" s="20"/>
      <x:c r="M192" s="20"/>
      <x:c r="N192" s="20"/>
      <x:c r="O192" s="20"/>
      <x:c r="P192" s="20"/>
      <x:c r="Q192" s="20"/>
      <x:c r="R192" s="20"/>
      <x:c r="S192" s="20"/>
      <x:c r="T192" s="20"/>
      <x:c r="U192" s="20"/>
      <x:c r="V192" s="20"/>
      <x:c r="W192" s="20"/>
      <x:c r="X192" s="20"/>
      <x:c r="Y192" s="20"/>
      <x:c r="Z192" s="20"/>
    </x:row>
    <x:row r="193">
      <x:c r="A193" s="20"/>
      <x:c r="B193" s="20"/>
      <x:c r="C193" s="20"/>
      <x:c r="D193" s="20"/>
      <x:c r="E193" s="20"/>
      <x:c r="F193" s="20"/>
      <x:c r="G193" s="20"/>
      <x:c r="H193" s="20"/>
      <x:c r="I193" s="20"/>
      <x:c r="J193" s="20"/>
      <x:c r="K193" s="20"/>
      <x:c r="L193" s="20"/>
      <x:c r="M193" s="20"/>
      <x:c r="N193" s="20"/>
      <x:c r="O193" s="20"/>
      <x:c r="P193" s="20"/>
      <x:c r="Q193" s="20"/>
      <x:c r="R193" s="20"/>
      <x:c r="S193" s="20"/>
      <x:c r="T193" s="20"/>
      <x:c r="U193" s="20"/>
      <x:c r="V193" s="20"/>
      <x:c r="W193" s="20"/>
      <x:c r="X193" s="20"/>
      <x:c r="Y193" s="20"/>
      <x:c r="Z193" s="20"/>
    </x:row>
    <x:row r="194">
      <x:c r="A194" s="20"/>
      <x:c r="B194" s="20"/>
      <x:c r="C194" s="20"/>
      <x:c r="D194" s="20"/>
      <x:c r="E194" s="20"/>
      <x:c r="F194" s="20"/>
      <x:c r="G194" s="20"/>
      <x:c r="H194" s="20"/>
      <x:c r="I194" s="20"/>
      <x:c r="J194" s="20"/>
      <x:c r="K194" s="20"/>
      <x:c r="L194" s="20"/>
      <x:c r="M194" s="20"/>
      <x:c r="N194" s="20"/>
      <x:c r="O194" s="20"/>
      <x:c r="P194" s="20"/>
      <x:c r="Q194" s="20"/>
      <x:c r="R194" s="20"/>
      <x:c r="S194" s="20"/>
      <x:c r="T194" s="20"/>
      <x:c r="U194" s="20"/>
      <x:c r="V194" s="20"/>
      <x:c r="W194" s="20"/>
      <x:c r="X194" s="20"/>
      <x:c r="Y194" s="20"/>
      <x:c r="Z194" s="20"/>
    </x:row>
    <x:row r="195">
      <x:c r="A195" s="20"/>
      <x:c r="B195" s="20"/>
      <x:c r="C195" s="20"/>
      <x:c r="D195" s="20"/>
      <x:c r="E195" s="20"/>
      <x:c r="F195" s="20"/>
      <x:c r="G195" s="20"/>
      <x:c r="H195" s="20"/>
      <x:c r="I195" s="20"/>
      <x:c r="J195" s="20"/>
      <x:c r="K195" s="20"/>
      <x:c r="L195" s="20"/>
      <x:c r="M195" s="20"/>
      <x:c r="N195" s="20"/>
      <x:c r="O195" s="20"/>
      <x:c r="P195" s="20"/>
      <x:c r="Q195" s="20"/>
      <x:c r="R195" s="20"/>
      <x:c r="S195" s="20"/>
      <x:c r="T195" s="20"/>
      <x:c r="U195" s="20"/>
      <x:c r="V195" s="20"/>
      <x:c r="W195" s="20"/>
      <x:c r="X195" s="20"/>
      <x:c r="Y195" s="20"/>
      <x:c r="Z195" s="20"/>
    </x:row>
    <x:row r="196">
      <x:c r="A196" s="20"/>
      <x:c r="B196" s="20"/>
      <x:c r="C196" s="20"/>
      <x:c r="D196" s="20"/>
      <x:c r="E196" s="20"/>
      <x:c r="F196" s="20"/>
      <x:c r="G196" s="20"/>
      <x:c r="H196" s="20"/>
      <x:c r="I196" s="20"/>
      <x:c r="J196" s="20"/>
      <x:c r="K196" s="20"/>
      <x:c r="L196" s="20"/>
      <x:c r="M196" s="20"/>
      <x:c r="N196" s="20"/>
      <x:c r="O196" s="20"/>
      <x:c r="P196" s="20"/>
      <x:c r="Q196" s="20"/>
      <x:c r="R196" s="20"/>
      <x:c r="S196" s="20"/>
      <x:c r="T196" s="20"/>
      <x:c r="U196" s="20"/>
      <x:c r="V196" s="20"/>
      <x:c r="W196" s="20"/>
      <x:c r="X196" s="20"/>
      <x:c r="Y196" s="20"/>
      <x:c r="Z196" s="20"/>
    </x:row>
    <x:row r="197">
      <x:c r="A197" s="20"/>
      <x:c r="B197" s="20"/>
      <x:c r="C197" s="20"/>
      <x:c r="D197" s="20"/>
      <x:c r="E197" s="20"/>
      <x:c r="F197" s="20"/>
      <x:c r="G197" s="20"/>
      <x:c r="H197" s="20"/>
      <x:c r="I197" s="20"/>
      <x:c r="J197" s="20"/>
      <x:c r="K197" s="20"/>
      <x:c r="L197" s="20"/>
      <x:c r="M197" s="20"/>
      <x:c r="N197" s="20"/>
      <x:c r="O197" s="20"/>
      <x:c r="P197" s="20"/>
      <x:c r="Q197" s="20"/>
      <x:c r="R197" s="20"/>
      <x:c r="S197" s="20"/>
      <x:c r="T197" s="20"/>
      <x:c r="U197" s="20"/>
      <x:c r="V197" s="20"/>
      <x:c r="W197" s="20"/>
      <x:c r="X197" s="20"/>
      <x:c r="Y197" s="20"/>
      <x:c r="Z197" s="20"/>
    </x:row>
    <x:row r="198">
      <x:c r="A198" s="20"/>
      <x:c r="B198" s="20"/>
      <x:c r="C198" s="20"/>
      <x:c r="D198" s="20"/>
      <x:c r="E198" s="20"/>
      <x:c r="F198" s="20"/>
      <x:c r="G198" s="20"/>
      <x:c r="H198" s="20"/>
      <x:c r="I198" s="20"/>
      <x:c r="J198" s="20"/>
      <x:c r="K198" s="20"/>
      <x:c r="L198" s="20"/>
      <x:c r="M198" s="20"/>
      <x:c r="N198" s="20"/>
      <x:c r="O198" s="20"/>
      <x:c r="P198" s="20"/>
      <x:c r="Q198" s="20"/>
      <x:c r="R198" s="20"/>
      <x:c r="S198" s="20"/>
      <x:c r="T198" s="20"/>
      <x:c r="U198" s="20"/>
      <x:c r="V198" s="20"/>
      <x:c r="W198" s="20"/>
      <x:c r="X198" s="20"/>
      <x:c r="Y198" s="20"/>
      <x:c r="Z198" s="20"/>
    </x:row>
    <x:row r="199">
      <x:c r="A199" s="20"/>
      <x:c r="B199" s="20"/>
      <x:c r="C199" s="20"/>
      <x:c r="D199" s="20"/>
      <x:c r="E199" s="20"/>
      <x:c r="F199" s="20"/>
      <x:c r="G199" s="20"/>
      <x:c r="H199" s="20"/>
      <x:c r="I199" s="20"/>
      <x:c r="J199" s="20"/>
      <x:c r="K199" s="20"/>
      <x:c r="L199" s="20"/>
      <x:c r="M199" s="20"/>
      <x:c r="N199" s="20"/>
      <x:c r="O199" s="20"/>
      <x:c r="P199" s="20"/>
      <x:c r="Q199" s="20"/>
      <x:c r="R199" s="20"/>
      <x:c r="S199" s="20"/>
      <x:c r="T199" s="20"/>
      <x:c r="U199" s="20"/>
      <x:c r="V199" s="20"/>
      <x:c r="W199" s="20"/>
      <x:c r="X199" s="20"/>
      <x:c r="Y199" s="20"/>
      <x:c r="Z199" s="20"/>
    </x:row>
    <x:row r="200">
      <x:c r="A200" s="20"/>
      <x:c r="B200" s="20"/>
      <x:c r="C200" s="20"/>
      <x:c r="D200" s="20"/>
      <x:c r="E200" s="20"/>
      <x:c r="F200" s="20"/>
      <x:c r="G200" s="20"/>
      <x:c r="H200" s="20"/>
      <x:c r="I200" s="20"/>
      <x:c r="J200" s="20"/>
      <x:c r="K200" s="20"/>
      <x:c r="L200" s="20"/>
      <x:c r="M200" s="20"/>
      <x:c r="N200" s="20"/>
      <x:c r="O200" s="20"/>
      <x:c r="P200" s="20"/>
      <x:c r="Q200" s="20"/>
      <x:c r="R200" s="20"/>
      <x:c r="S200" s="20"/>
      <x:c r="T200" s="20"/>
      <x:c r="U200" s="20"/>
      <x:c r="V200" s="20"/>
      <x:c r="W200" s="20"/>
      <x:c r="X200" s="20"/>
      <x:c r="Y200" s="20"/>
      <x:c r="Z200" s="20"/>
    </x:row>
  </x:sheetData>
  <x:pageMargins left="0.7" right="0.7" top="0.75" bottom="0.75" header="0.3" footer="0.3"/>
  <x:tableParts count="1">
    <x:tablePart xmlns:r="http://schemas.openxmlformats.org/officeDocument/2006/relationships" r:id="R213d39a00abc48c7"/>
  </x:tableParts>
</x:worksheet>
</file>

<file path=xl/worksheets/sheet7.xml><?xml version="1.0" encoding="utf-8"?>
<x:worksheet xmlns:x="http://schemas.openxmlformats.org/spreadsheetml/2006/main">
  <x:sheetFormatPr defaultRowHeight="15"/>
  <x:cols>
    <x:col min="1" max="1" width="35" hidden="0" customWidth="1"/>
    <x:col min="2" max="2" width="40" hidden="0" customWidth="1"/>
    <x:col min="3" max="3" width="55" hidden="0" customWidth="1"/>
    <x:col min="4" max="4" width="20" hidden="0" customWidth="1"/>
  </x:cols>
  <x:sheetData>
    <x:row r="1">
      <x:c r="A1" s="6" t="str">
        <x:v>Dataset / Series</x:v>
      </x:c>
      <x:c r="B1" s="6" t="str">
        <x:v>Current Status</x:v>
      </x:c>
      <x:c r="C1" s="6" t="str">
        <x:v>Next Action</x:v>
      </x:c>
      <x:c r="D1" s="6" t="str">
        <x:v>Appendix Ready?</x:v>
      </x:c>
      <x:c r="E1" s="20"/>
      <x:c r="F1" s="20"/>
      <x:c r="G1" s="20"/>
      <x:c r="H1" s="20"/>
      <x:c r="I1" s="20"/>
      <x:c r="J1" s="20"/>
      <x:c r="K1" s="20"/>
      <x:c r="L1" s="20"/>
      <x:c r="M1" s="20"/>
      <x:c r="N1" s="20"/>
      <x:c r="O1" s="20"/>
      <x:c r="P1" s="20"/>
      <x:c r="Q1" s="20"/>
      <x:c r="R1" s="20"/>
      <x:c r="S1" s="20"/>
      <x:c r="T1" s="20"/>
      <x:c r="U1" s="20"/>
      <x:c r="V1" s="20"/>
      <x:c r="W1" s="20"/>
      <x:c r="X1" s="20"/>
      <x:c r="Y1" s="20"/>
      <x:c r="Z1" s="20"/>
    </x:row>
    <x:row r="2">
      <x:c r="A2" s="20" t="str">
        <x:v>Marvel Legends MSRP timeline</x:v>
      </x:c>
      <x:c r="B2" s="20" t="str">
        <x:v>Evidence points entered; 2021/early-2022 transitions flagged</x:v>
      </x:c>
      <x:c r="C2" s="20" t="str">
        <x:v>Verify transition dates at release level before modeling</x:v>
      </x:c>
      <x:c r="D2" s="20" t="str">
        <x:v>Yes — sources logged</x:v>
      </x:c>
      <x:c r="E2" s="20"/>
      <x:c r="F2" s="20"/>
      <x:c r="G2" s="20"/>
      <x:c r="H2" s="20"/>
      <x:c r="I2" s="20"/>
      <x:c r="J2" s="20"/>
      <x:c r="K2" s="20"/>
      <x:c r="L2" s="20"/>
      <x:c r="M2" s="20"/>
      <x:c r="N2" s="20"/>
      <x:c r="O2" s="20"/>
      <x:c r="P2" s="20"/>
      <x:c r="Q2" s="20"/>
      <x:c r="R2" s="20"/>
      <x:c r="S2" s="20"/>
      <x:c r="T2" s="20"/>
      <x:c r="U2" s="20"/>
      <x:c r="V2" s="20"/>
      <x:c r="W2" s="20"/>
      <x:c r="X2" s="20"/>
      <x:c r="Y2" s="20"/>
      <x:c r="Z2" s="20"/>
    </x:row>
    <x:row r="3">
      <x:c r="A3" s="20" t="str">
        <x:v>Thermoplastic resin WPU0662</x:v>
      </x:c>
      <x:c r="B3" s="20" t="str">
        <x:v>Full monthly 2019-01 through 2026-08 observations loaded</x:v>
      </x:c>
      <x:c r="C3" s="20" t="str">
        <x:v>Use normalized series for descriptive comparison; test lags later</x:v>
      </x:c>
      <x:c r="D3" s="20" t="str">
        <x:v>Yes — source logged</x:v>
      </x:c>
      <x:c r="E3" s="20"/>
      <x:c r="F3" s="20"/>
      <x:c r="G3" s="20"/>
      <x:c r="H3" s="20"/>
      <x:c r="I3" s="20"/>
      <x:c r="J3" s="20"/>
      <x:c r="K3" s="20"/>
      <x:c r="L3" s="20"/>
      <x:c r="M3" s="20"/>
      <x:c r="N3" s="20"/>
      <x:c r="O3" s="20"/>
      <x:c r="P3" s="20"/>
      <x:c r="Q3" s="20"/>
      <x:c r="R3" s="20"/>
      <x:c r="S3" s="20"/>
      <x:c r="T3" s="20"/>
      <x:c r="U3" s="20"/>
      <x:c r="V3" s="20"/>
      <x:c r="W3" s="20"/>
      <x:c r="X3" s="20"/>
      <x:c r="Y3" s="20"/>
      <x:c r="Z3" s="20"/>
    </x:row>
    <x:row r="4">
      <x:c r="A4" s="20" t="str">
        <x:v>Tooling/dies PCU3335143335140</x:v>
      </x:c>
      <x:c r="B4" s="20" t="str">
        <x:v>Full monthly 2019-01 through 2026-08 observations loaded</x:v>
      </x:c>
      <x:c r="C4" s="20" t="str">
        <x:v>Use normalized series for descriptive comparison; test lags later</x:v>
      </x:c>
      <x:c r="D4" s="20" t="str">
        <x:v>Yes — source logged</x:v>
      </x:c>
      <x:c r="E4" s="20"/>
      <x:c r="F4" s="20"/>
      <x:c r="G4" s="20"/>
      <x:c r="H4" s="20"/>
      <x:c r="I4" s="20"/>
      <x:c r="J4" s="20"/>
      <x:c r="K4" s="20"/>
      <x:c r="L4" s="20"/>
      <x:c r="M4" s="20"/>
      <x:c r="N4" s="20"/>
      <x:c r="O4" s="20"/>
      <x:c r="P4" s="20"/>
      <x:c r="Q4" s="20"/>
      <x:c r="R4" s="20"/>
      <x:c r="S4" s="20"/>
      <x:c r="T4" s="20"/>
      <x:c r="U4" s="20"/>
      <x:c r="V4" s="20"/>
      <x:c r="W4" s="20"/>
      <x:c r="X4" s="20"/>
      <x:c r="Y4" s="20"/>
      <x:c r="Z4" s="20"/>
    </x:row>
    <x:row r="5">
      <x:c r="A5" s="20" t="str">
        <x:v>Paints WPU062</x:v>
      </x:c>
      <x:c r="B5" s="20" t="str">
        <x:v>Full monthly 2019-01 through 2026-08 observations loaded</x:v>
      </x:c>
      <x:c r="C5" s="20" t="str">
        <x:v>Use normalized series for descriptive comparison; test lags later</x:v>
      </x:c>
      <x:c r="D5" s="20" t="str">
        <x:v>Yes — source logged</x:v>
      </x:c>
      <x:c r="E5" s="20"/>
      <x:c r="F5" s="20"/>
      <x:c r="G5" s="20"/>
      <x:c r="H5" s="20"/>
      <x:c r="I5" s="20"/>
      <x:c r="J5" s="20"/>
      <x:c r="K5" s="20"/>
      <x:c r="L5" s="20"/>
      <x:c r="M5" s="20"/>
      <x:c r="N5" s="20"/>
      <x:c r="O5" s="20"/>
      <x:c r="P5" s="20"/>
      <x:c r="Q5" s="20"/>
      <x:c r="R5" s="20"/>
      <x:c r="S5" s="20"/>
      <x:c r="T5" s="20"/>
      <x:c r="U5" s="20"/>
      <x:c r="V5" s="20"/>
      <x:c r="W5" s="20"/>
      <x:c r="X5" s="20"/>
      <x:c r="Y5" s="20"/>
      <x:c r="Z5" s="20"/>
    </x:row>
    <x:row r="6">
      <x:c r="A6" s="20" t="str">
        <x:v>Printing ink WPU06790919</x:v>
      </x:c>
      <x:c r="B6" s="20" t="str">
        <x:v>Full monthly 2019-01 through 2026-08 observations loaded</x:v>
      </x:c>
      <x:c r="C6" s="20" t="str">
        <x:v>Use normalized series for descriptive comparison; test lags later</x:v>
      </x:c>
      <x:c r="D6" s="20" t="str">
        <x:v>Yes — source logged</x:v>
      </x:c>
      <x:c r="E6" s="20"/>
      <x:c r="F6" s="20"/>
      <x:c r="G6" s="20"/>
      <x:c r="H6" s="20"/>
      <x:c r="I6" s="20"/>
      <x:c r="J6" s="20"/>
      <x:c r="K6" s="20"/>
      <x:c r="L6" s="20"/>
      <x:c r="M6" s="20"/>
      <x:c r="N6" s="20"/>
      <x:c r="O6" s="20"/>
      <x:c r="P6" s="20"/>
      <x:c r="Q6" s="20"/>
      <x:c r="R6" s="20"/>
      <x:c r="S6" s="20"/>
      <x:c r="T6" s="20"/>
      <x:c r="U6" s="20"/>
      <x:c r="V6" s="20"/>
      <x:c r="W6" s="20"/>
      <x:c r="X6" s="20"/>
      <x:c r="Y6" s="20"/>
      <x:c r="Z6" s="20"/>
    </x:row>
    <x:row r="7">
      <x:c r="A7" s="20" t="str">
        <x:v>Adhesives WPU067904</x:v>
      </x:c>
      <x:c r="B7" s="20" t="str">
        <x:v>Full monthly 2019-01 through 2026-08 observations loaded</x:v>
      </x:c>
      <x:c r="C7" s="20" t="str">
        <x:v>Use normalized series for descriptive comparison; test lags later</x:v>
      </x:c>
      <x:c r="D7" s="20" t="str">
        <x:v>Yes — source logged</x:v>
      </x:c>
      <x:c r="E7" s="20"/>
      <x:c r="F7" s="20"/>
      <x:c r="G7" s="20"/>
      <x:c r="H7" s="20"/>
      <x:c r="I7" s="20"/>
      <x:c r="J7" s="20"/>
      <x:c r="K7" s="20"/>
      <x:c r="L7" s="20"/>
      <x:c r="M7" s="20"/>
      <x:c r="N7" s="20"/>
      <x:c r="O7" s="20"/>
      <x:c r="P7" s="20"/>
      <x:c r="Q7" s="20"/>
      <x:c r="R7" s="20"/>
      <x:c r="S7" s="20"/>
      <x:c r="T7" s="20"/>
      <x:c r="U7" s="20"/>
      <x:c r="V7" s="20"/>
      <x:c r="W7" s="20"/>
      <x:c r="X7" s="20"/>
      <x:c r="Y7" s="20"/>
      <x:c r="Z7" s="20"/>
    </x:row>
    <x:row r="8">
      <x:c r="A8" s="20" t="str">
        <x:v>Paperboard WPU09150336</x:v>
      </x:c>
      <x:c r="B8" s="20" t="str">
        <x:v>Full monthly 2019-01 through 2026-08 observations loaded</x:v>
      </x:c>
      <x:c r="C8" s="20" t="str">
        <x:v>Use normalized series for descriptive comparison; test lags later</x:v>
      </x:c>
      <x:c r="D8" s="20" t="str">
        <x:v>Yes — source logged</x:v>
      </x:c>
      <x:c r="E8" s="20"/>
      <x:c r="F8" s="20"/>
      <x:c r="G8" s="20"/>
      <x:c r="H8" s="20"/>
      <x:c r="I8" s="20"/>
      <x:c r="J8" s="20"/>
      <x:c r="K8" s="20"/>
      <x:c r="L8" s="20"/>
      <x:c r="M8" s="20"/>
      <x:c r="N8" s="20"/>
      <x:c r="O8" s="20"/>
      <x:c r="P8" s="20"/>
      <x:c r="Q8" s="20"/>
      <x:c r="R8" s="20"/>
      <x:c r="S8" s="20"/>
      <x:c r="T8" s="20"/>
      <x:c r="U8" s="20"/>
      <x:c r="V8" s="20"/>
      <x:c r="W8" s="20"/>
      <x:c r="X8" s="20"/>
      <x:c r="Y8" s="20"/>
      <x:c r="Z8" s="20"/>
    </x:row>
    <x:row r="9">
      <x:c r="A9" s="20" t="str">
        <x:v>Corrugated cartons WPU09150301</x:v>
      </x:c>
      <x:c r="B9" s="20" t="str">
        <x:v>Full monthly 2019-01 through 2026-08 observations loaded</x:v>
      </x:c>
      <x:c r="C9" s="20" t="str">
        <x:v>Use normalized series for descriptive comparison; test lags later</x:v>
      </x:c>
      <x:c r="D9" s="20" t="str">
        <x:v>Yes — source logged</x:v>
      </x:c>
      <x:c r="E9" s="20"/>
      <x:c r="F9" s="20"/>
      <x:c r="G9" s="20"/>
      <x:c r="H9" s="20"/>
      <x:c r="I9" s="20"/>
      <x:c r="J9" s="20"/>
      <x:c r="K9" s="20"/>
      <x:c r="L9" s="20"/>
      <x:c r="M9" s="20"/>
      <x:c r="N9" s="20"/>
      <x:c r="O9" s="20"/>
      <x:c r="P9" s="20"/>
      <x:c r="Q9" s="20"/>
      <x:c r="R9" s="20"/>
      <x:c r="S9" s="20"/>
      <x:c r="T9" s="20"/>
      <x:c r="U9" s="20"/>
      <x:c r="V9" s="20"/>
      <x:c r="W9" s="20"/>
      <x:c r="X9" s="20"/>
      <x:c r="Y9" s="20"/>
      <x:c r="Z9" s="20"/>
    </x:row>
    <x:row r="10">
      <x:c r="A10" s="20" t="str">
        <x:v>USD/CNY EXCHUS</x:v>
      </x:c>
      <x:c r="B10" s="20" t="str">
        <x:v>Full monthly 2019-01 through 2026-08 observations loaded</x:v>
      </x:c>
      <x:c r="C10" s="20" t="str">
        <x:v>Use normalized series for descriptive comparison; test lags later</x:v>
      </x:c>
      <x:c r="D10" s="20" t="str">
        <x:v>Yes — source logged</x:v>
      </x:c>
      <x:c r="E10" s="20"/>
      <x:c r="F10" s="20"/>
      <x:c r="G10" s="20"/>
      <x:c r="H10" s="20"/>
      <x:c r="I10" s="20"/>
      <x:c r="J10" s="20"/>
      <x:c r="K10" s="20"/>
      <x:c r="L10" s="20"/>
      <x:c r="M10" s="20"/>
      <x:c r="N10" s="20"/>
      <x:c r="O10" s="20"/>
      <x:c r="P10" s="20"/>
      <x:c r="Q10" s="20"/>
      <x:c r="R10" s="20"/>
      <x:c r="S10" s="20"/>
      <x:c r="T10" s="20"/>
      <x:c r="U10" s="20"/>
      <x:c r="V10" s="20"/>
      <x:c r="W10" s="20"/>
      <x:c r="X10" s="20"/>
      <x:c r="Y10" s="20"/>
      <x:c r="Z10" s="20"/>
    </x:row>
    <x:row r="11">
      <x:c r="A11" s="20" t="str">
        <x:v>China manufacturing labor</x:v>
      </x:c>
      <x:c r="B11" s="20" t="str">
        <x:v>2019–2025 annual China private-manufacturing wage series loaded</x:v>
      </x:c>
      <x:c r="C11" s="20" t="str">
        <x:v>Keep annual for now; do not monthly-interpolate until modeling method is approved</x:v>
      </x:c>
      <x:c r="D11" s="20" t="str">
        <x:v>Yes — year-specific sources logged</x:v>
      </x:c>
      <x:c r="E11" s="20"/>
      <x:c r="F11" s="20"/>
      <x:c r="G11" s="20"/>
      <x:c r="H11" s="20"/>
      <x:c r="I11" s="20"/>
      <x:c r="J11" s="20"/>
      <x:c r="K11" s="20"/>
      <x:c r="L11" s="20"/>
      <x:c r="M11" s="20"/>
      <x:c r="N11" s="20"/>
      <x:c r="O11" s="20"/>
      <x:c r="P11" s="20"/>
      <x:c r="Q11" s="20"/>
      <x:c r="R11" s="20"/>
      <x:c r="S11" s="20"/>
      <x:c r="T11" s="20"/>
      <x:c r="U11" s="20"/>
      <x:c r="V11" s="20"/>
      <x:c r="W11" s="20"/>
      <x:c r="X11" s="20"/>
      <x:c r="Y11" s="20"/>
      <x:c r="Z11" s="20"/>
    </x:row>
    <x:row r="12">
      <x:c r="A12" s="20" t="str">
        <x:v>GSCPI inbound logistics</x:v>
      </x:c>
      <x:c r="B12" s="20" t="str">
        <x:v>Source validated as robustness proxy</x:v>
      </x:c>
      <x:c r="C12" s="20" t="str">
        <x:v>Load monthly series only if retained after freight-variable review</x:v>
      </x:c>
      <x:c r="D12" s="20" t="str">
        <x:v>Yes — source logged</x:v>
      </x:c>
      <x:c r="E12" s="20"/>
      <x:c r="F12" s="20"/>
      <x:c r="G12" s="20"/>
      <x:c r="H12" s="20"/>
      <x:c r="I12" s="20"/>
      <x:c r="J12" s="20"/>
      <x:c r="K12" s="20"/>
      <x:c r="L12" s="20"/>
      <x:c r="M12" s="20"/>
      <x:c r="N12" s="20"/>
      <x:c r="O12" s="20"/>
      <x:c r="P12" s="20"/>
      <x:c r="Q12" s="20"/>
      <x:c r="R12" s="20"/>
      <x:c r="S12" s="20"/>
      <x:c r="T12" s="20"/>
      <x:c r="U12" s="20"/>
      <x:c r="V12" s="20"/>
      <x:c r="W12" s="20"/>
      <x:c r="X12" s="20"/>
      <x:c r="Y12" s="20"/>
      <x:c r="Z12" s="20"/>
    </x:row>
    <x:row r="13">
      <x:c r="A13" s="20" t="str">
        <x:v>PVC / ABS / POM / PP / PET</x:v>
      </x:c>
      <x:c r="B13" s="20" t="str">
        <x:v>Secondary route identified via trade/import unit values</x:v>
      </x:c>
      <x:c r="C13" s="20" t="str">
        <x:v>Collect only as secondary checks; do not substitute for Hasbro procurement cost</x:v>
      </x:c>
      <x:c r="D13" s="20" t="str">
        <x:v>Pending detailed rows</x:v>
      </x:c>
      <x:c r="E13" s="20"/>
      <x:c r="F13" s="20"/>
      <x:c r="G13" s="20"/>
      <x:c r="H13" s="20"/>
      <x:c r="I13" s="20"/>
      <x:c r="J13" s="20"/>
      <x:c r="K13" s="20"/>
      <x:c r="L13" s="20"/>
      <x:c r="M13" s="20"/>
      <x:c r="N13" s="20"/>
      <x:c r="O13" s="20"/>
      <x:c r="P13" s="20"/>
      <x:c r="Q13" s="20"/>
      <x:c r="R13" s="20"/>
      <x:c r="S13" s="20"/>
      <x:c r="T13" s="20"/>
      <x:c r="U13" s="20"/>
      <x:c r="V13" s="20"/>
      <x:c r="W13" s="20"/>
      <x:c r="X13" s="20"/>
      <x:c r="Y13" s="20"/>
      <x:c r="Z13" s="20"/>
    </x:row>
    <x:row r="14">
      <x:c r="A14" s="20" t="str">
        <x:v>China manufacturing labor</x:v>
      </x:c>
      <x:c r="B14" s="20" t="str">
        <x:v>2019–2025 official manufacturing wage series loaded</x:v>
      </x:c>
      <x:c r="C14" s="20" t="str">
        <x:v>Use as country-specific labor-pressure proxy</x:v>
      </x:c>
      <x:c r="D14" s="20" t="str">
        <x:v>Yes — year-specific sources logged</x:v>
      </x:c>
      <x:c r="E14" s="20"/>
      <x:c r="F14" s="20"/>
      <x:c r="G14" s="20"/>
      <x:c r="H14" s="20"/>
      <x:c r="I14" s="20"/>
      <x:c r="J14" s="20"/>
      <x:c r="K14" s="20"/>
      <x:c r="L14" s="20"/>
      <x:c r="M14" s="20"/>
      <x:c r="N14" s="20"/>
      <x:c r="O14" s="20"/>
      <x:c r="P14" s="20"/>
      <x:c r="Q14" s="20"/>
      <x:c r="R14" s="20"/>
      <x:c r="S14" s="20"/>
      <x:c r="T14" s="20"/>
      <x:c r="U14" s="20"/>
      <x:c r="V14" s="20"/>
      <x:c r="W14" s="20"/>
      <x:c r="X14" s="20"/>
      <x:c r="Y14" s="20"/>
      <x:c r="Z14" s="20"/>
    </x:row>
    <x:row r="15">
      <x:c r="A15" s="20" t="str">
        <x:v>Vietnam manufacturing labor</x:v>
      </x:c>
      <x:c r="B15" s="20" t="str">
        <x:v>2019–2023 national manufacturing compensation series loaded</x:v>
      </x:c>
      <x:c r="C15" s="20" t="str">
        <x:v>Use indexed trend only; do not compare currency levels across countries</x:v>
      </x:c>
      <x:c r="D15" s="20" t="str">
        <x:v>Yes — source logged</x:v>
      </x:c>
      <x:c r="E15" s="20"/>
      <x:c r="F15" s="20"/>
      <x:c r="G15" s="20"/>
      <x:c r="H15" s="20"/>
      <x:c r="I15" s="20"/>
      <x:c r="J15" s="20"/>
      <x:c r="K15" s="20"/>
      <x:c r="L15" s="20"/>
      <x:c r="M15" s="20"/>
      <x:c r="N15" s="20"/>
      <x:c r="O15" s="20"/>
      <x:c r="P15" s="20"/>
      <x:c r="Q15" s="20"/>
      <x:c r="R15" s="20"/>
      <x:c r="S15" s="20"/>
      <x:c r="T15" s="20"/>
      <x:c r="U15" s="20"/>
      <x:c r="V15" s="20"/>
      <x:c r="W15" s="20"/>
      <x:c r="X15" s="20"/>
      <x:c r="Y15" s="20"/>
      <x:c r="Z15" s="20"/>
    </x:row>
    <x:row r="16">
      <x:c r="A16" s="20" t="str">
        <x:v>India manufacturing labor</x:v>
      </x:c>
      <x:c r="B16" s="20" t="str">
        <x:v>2019-20–2023-24 ASI organized factory-sector wage/worker series derived</x:v>
      </x:c>
      <x:c r="C16" s="20" t="str">
        <x:v>Use indexed trend only; retain derivation in appendix</x:v>
      </x:c>
      <x:c r="D16" s="20" t="str">
        <x:v>Yes — source + transformation logged</x:v>
      </x:c>
      <x:c r="E16" s="20"/>
      <x:c r="F16" s="20"/>
      <x:c r="G16" s="20"/>
      <x:c r="H16" s="20"/>
      <x:c r="I16" s="20"/>
      <x:c r="J16" s="20"/>
      <x:c r="K16" s="20"/>
      <x:c r="L16" s="20"/>
      <x:c r="M16" s="20"/>
      <x:c r="N16" s="20"/>
      <x:c r="O16" s="20"/>
      <x:c r="P16" s="20"/>
      <x:c r="Q16" s="20"/>
      <x:c r="R16" s="20"/>
      <x:c r="S16" s="20"/>
      <x:c r="T16" s="20"/>
      <x:c r="U16" s="20"/>
      <x:c r="V16" s="20"/>
      <x:c r="W16" s="20"/>
      <x:c r="X16" s="20"/>
      <x:c r="Y16" s="20"/>
      <x:c r="Z16" s="20"/>
    </x:row>
    <x:row r="17">
      <x:c r="A17" s="20" t="str">
        <x:v>Hasbro COGS composition</x:v>
      </x:c>
      <x:c r="B17" s="20" t="str">
        <x:v>2019–2022 detailed component tables loaded; 2023–2025 aggregate COGS loaded</x:v>
      </x:c>
      <x:c r="C17" s="20" t="str">
        <x:v>Use disclosed 2019–2022 component shares as historical anchors; do not impute undisclosed 2023–2025 components</x:v>
      </x:c>
      <x:c r="D17" s="20" t="str">
        <x:v>Yes — Hasbro primary sources logged</x:v>
      </x:c>
      <x:c r="E17" s="20"/>
      <x:c r="F17" s="20"/>
      <x:c r="G17" s="20"/>
      <x:c r="H17" s="20"/>
      <x:c r="I17" s="20"/>
      <x:c r="J17" s="20"/>
      <x:c r="K17" s="20"/>
      <x:c r="L17" s="20"/>
      <x:c r="M17" s="20"/>
      <x:c r="N17" s="20"/>
      <x:c r="O17" s="20"/>
      <x:c r="P17" s="20"/>
      <x:c r="Q17" s="20"/>
      <x:c r="R17" s="20"/>
      <x:c r="S17" s="20"/>
      <x:c r="T17" s="20"/>
      <x:c r="U17" s="20"/>
      <x:c r="V17" s="20"/>
      <x:c r="W17" s="20"/>
      <x:c r="X17" s="20"/>
      <x:c r="Y17" s="20"/>
      <x:c r="Z17" s="20"/>
    </x:row>
    <x:row r="18">
      <x:c r="A18" s="20" t="str">
        <x:v>Consumer Products segment COGS</x:v>
      </x:c>
      <x:c r="B18" s="20" t="str">
        <x:v>2023–2025 segment net revenue and COGS loaded from 2025 10-K</x:v>
      </x:c>
      <x:c r="C18" s="20" t="str">
        <x:v>Use as supplemental toy-business context; keep separate from consolidated component-share series</x:v>
      </x:c>
      <x:c r="D18" s="20" t="str">
        <x:v>Yes — Hasbro 10-K logged</x:v>
      </x:c>
      <x:c r="E18" s="20"/>
      <x:c r="F18" s="20"/>
      <x:c r="G18" s="20"/>
      <x:c r="H18" s="20"/>
      <x:c r="I18" s="20"/>
      <x:c r="J18" s="20"/>
      <x:c r="K18" s="20"/>
      <x:c r="L18" s="20"/>
      <x:c r="M18" s="20"/>
      <x:c r="N18" s="20"/>
      <x:c r="O18" s="20"/>
      <x:c r="P18" s="20"/>
      <x:c r="Q18" s="20"/>
      <x:c r="R18" s="20"/>
      <x:c r="S18" s="20"/>
      <x:c r="T18" s="20"/>
      <x:c r="U18" s="20"/>
      <x:c r="V18" s="20"/>
      <x:c r="W18" s="20"/>
      <x:c r="X18" s="20"/>
      <x:c r="Y18" s="20"/>
      <x:c r="Z18" s="20"/>
    </x:row>
    <x:row r="19">
      <x:c r="A19" s="20" t="str">
        <x:v>Action-figure industry expert context</x:v>
      </x:c>
      <x:c r="B19" s="20" t="str">
        <x:v>Three strong qualitative Bobby Vala/Valaverse items logged; no numeric labor-share disclosure accepted</x:v>
      </x:c>
      <x:c r="C19" s="20" t="str">
        <x:v>Use only in methodology/limitations/interpretation; keep out of core quantitative model</x:v>
      </x:c>
      <x:c r="D19" s="20" t="str">
        <x:v>Yes — direct sources logged</x:v>
      </x:c>
      <x:c r="E19" s="20"/>
      <x:c r="F19" s="20"/>
      <x:c r="G19" s="20"/>
      <x:c r="H19" s="20"/>
      <x:c r="I19" s="20"/>
      <x:c r="J19" s="20"/>
      <x:c r="K19" s="20"/>
      <x:c r="L19" s="20"/>
      <x:c r="M19" s="20"/>
      <x:c r="N19" s="20"/>
      <x:c r="O19" s="20"/>
      <x:c r="P19" s="20"/>
      <x:c r="Q19" s="20"/>
      <x:c r="R19" s="20"/>
      <x:c r="S19" s="20"/>
      <x:c r="T19" s="20"/>
      <x:c r="U19" s="20"/>
      <x:c r="V19" s="20"/>
      <x:c r="W19" s="20"/>
      <x:c r="X19" s="20"/>
      <x:c r="Y19" s="20"/>
      <x:c r="Z19" s="20"/>
    </x:row>
    <x:row r="20">
      <x:c r="A20" s="20" t="str">
        <x:v>Inbound ocean freight</x:v>
      </x:c>
      <x:c r="B20" s="20" t="str">
        <x:v>BLS monthly deep-sea freight PPI loaded 2019-01–2026-08; Drewry transpacific spot-rate checks logged</x:v>
      </x:c>
      <x:c r="C20" s="20" t="str">
        <x:v>Use BLS PPI as core monthly proxy; Drewry as route-specific context; keep tariffs separate</x:v>
      </x:c>
      <x:c r="D20" s="20" t="str">
        <x:v>Yes — sources logged</x:v>
      </x:c>
      <x:c r="E20" s="20"/>
      <x:c r="F20" s="20"/>
      <x:c r="G20" s="20"/>
      <x:c r="H20" s="20"/>
      <x:c r="I20" s="20"/>
      <x:c r="J20" s="20"/>
      <x:c r="K20" s="20"/>
      <x:c r="L20" s="20"/>
      <x:c r="M20" s="20"/>
      <x:c r="N20" s="20"/>
      <x:c r="O20" s="20"/>
      <x:c r="P20" s="20"/>
      <x:c r="Q20" s="20"/>
      <x:c r="R20" s="20"/>
      <x:c r="S20" s="20"/>
      <x:c r="T20" s="20"/>
      <x:c r="U20" s="20"/>
      <x:c r="V20" s="20"/>
      <x:c r="W20" s="20"/>
      <x:c r="X20" s="20"/>
      <x:c r="Y20" s="20"/>
      <x:c r="Z20" s="20"/>
    </x:row>
    <x:row r="21">
      <x:c r="A21" s="20" t="str">
        <x:v>Tariffs / import duties</x:v>
      </x:c>
      <x:c r="B21" s="20" t="str">
        <x:v>2019–2026 China-origin toy tariff timeline built; Hasbro 2025 and H1-2026 recognized tariff costs logged</x:v>
      </x:c>
      <x:c r="C21" s="20" t="str">
        <x:v>Use event timeline + Hasbro actual expense for interpretation; do not convert peak headline tariff directly into Marvel Legends unit cost</x:v>
      </x:c>
      <x:c r="D21" s="20" t="str">
        <x:v>Yes — primary legal/corporate sources logged</x:v>
      </x:c>
      <x:c r="E21" s="20"/>
      <x:c r="F21" s="20"/>
      <x:c r="G21" s="20"/>
      <x:c r="H21" s="20"/>
      <x:c r="I21" s="20"/>
      <x:c r="J21" s="20"/>
      <x:c r="K21" s="20"/>
      <x:c r="L21" s="20"/>
      <x:c r="M21" s="20"/>
      <x:c r="N21" s="20"/>
      <x:c r="O21" s="20"/>
      <x:c r="P21" s="20"/>
      <x:c r="Q21" s="20"/>
      <x:c r="R21" s="20"/>
      <x:c r="S21" s="20"/>
      <x:c r="T21" s="20"/>
      <x:c r="U21" s="20"/>
      <x:c r="V21" s="20"/>
      <x:c r="W21" s="20"/>
      <x:c r="X21" s="20"/>
      <x:c r="Y21" s="20"/>
      <x:c r="Z21" s="20"/>
    </x:row>
    <x:row r="22">
      <x:c r="A22" s="20" t="str">
        <x:v>Monthly demand proxy</x:v>
      </x:c>
      <x:c r="B22" s="20" t="str">
        <x:v>Census/FRED Hobby/Toy/Game retail sales loaded through Jul-2026; YoY growth calculated</x:v>
      </x:c>
      <x:c r="C22" s="20" t="str">
        <x:v>Retain as candidate demand robustness control; test only after core supply model is specified</x:v>
      </x:c>
      <x:c r="D22" s="20" t="str">
        <x:v>Yes — source logged</x:v>
      </x:c>
      <x:c r="E22" s="20"/>
      <x:c r="F22" s="20"/>
      <x:c r="G22" s="20"/>
      <x:c r="H22" s="20"/>
      <x:c r="I22" s="20"/>
      <x:c r="J22" s="20"/>
      <x:c r="K22" s="20"/>
      <x:c r="L22" s="20"/>
      <x:c r="M22" s="20"/>
      <x:c r="N22" s="20"/>
      <x:c r="O22" s="20"/>
      <x:c r="P22" s="20"/>
      <x:c r="Q22" s="20"/>
      <x:c r="R22" s="20"/>
      <x:c r="S22" s="20"/>
      <x:c r="T22" s="20"/>
      <x:c r="U22" s="20"/>
      <x:c r="V22" s="20"/>
      <x:c r="W22" s="20"/>
      <x:c r="X22" s="20"/>
      <x:c r="Y22" s="20"/>
      <x:c r="Z22" s="20"/>
    </x:row>
    <x:row r="23">
      <x:c r="A23" s="20" t="str">
        <x:v>Action-figure category demand</x:v>
      </x:c>
      <x:c r="B23" s="20" t="str">
        <x:v>Circana annual retail-dollar series 2019–2025 logged; unit/ASP evidence added where available</x:v>
      </x:c>
      <x:c r="C23" s="20" t="str">
        <x:v>Use descriptively; do not treat dollar sales as pure quantity demand</x:v>
      </x:c>
      <x:c r="D23" s="20" t="str">
        <x:v>Yes — sources logged</x:v>
      </x:c>
      <x:c r="E23" s="20"/>
      <x:c r="F23" s="20"/>
      <x:c r="G23" s="20"/>
      <x:c r="H23" s="20"/>
      <x:c r="I23" s="20"/>
      <x:c r="J23" s="20"/>
      <x:c r="K23" s="20"/>
      <x:c r="L23" s="20"/>
      <x:c r="M23" s="20"/>
      <x:c r="N23" s="20"/>
      <x:c r="O23" s="20"/>
      <x:c r="P23" s="20"/>
      <x:c r="Q23" s="20"/>
      <x:c r="R23" s="20"/>
      <x:c r="S23" s="20"/>
      <x:c r="T23" s="20"/>
      <x:c r="U23" s="20"/>
      <x:c r="V23" s="20"/>
      <x:c r="W23" s="20"/>
      <x:c r="X23" s="20"/>
      <x:c r="Y23" s="20"/>
      <x:c r="Z23" s="20"/>
    </x:row>
    <x:row r="24">
      <x:c r="A24" s="20" t="str">
        <x:v>Hasbro demand validation</x:v>
      </x:c>
      <x:c r="B24" s="20" t="str">
        <x:v>Selected 2023–2026 Action Figures &amp; Accessories share/POS evidence and Marvel brand signals logged</x:v>
      </x:c>
      <x:c r="C24" s="20" t="str">
        <x:v>Use as validation/context only because periods/geographies differ</x:v>
      </x:c>
      <x:c r="D24" s="20" t="str">
        <x:v>Yes — Hasbro/Circana sources logged</x:v>
      </x:c>
      <x:c r="E24" s="20"/>
      <x:c r="F24" s="20"/>
      <x:c r="G24" s="20"/>
      <x:c r="H24" s="20"/>
      <x:c r="I24" s="20"/>
      <x:c r="J24" s="20"/>
      <x:c r="K24" s="20"/>
      <x:c r="L24" s="20"/>
      <x:c r="M24" s="20"/>
      <x:c r="N24" s="20"/>
      <x:c r="O24" s="20"/>
      <x:c r="P24" s="20"/>
      <x:c r="Q24" s="20"/>
      <x:c r="R24" s="20"/>
      <x:c r="S24" s="20"/>
      <x:c r="T24" s="20"/>
      <x:c r="U24" s="20"/>
      <x:c r="V24" s="20"/>
      <x:c r="W24" s="20"/>
      <x:c r="X24" s="20"/>
      <x:c r="Y24" s="20"/>
      <x:c r="Z24" s="20"/>
    </x:row>
    <x:row r="25">
      <x:c r="A25" s="20" t="str">
        <x:v>USD/CNY exchange-rate sensitivity</x:v>
      </x:c>
      <x:c r="B25" s="20" t="str">
        <x:v>Annual average FX conversion completed for China manufacturing wages, 2019–2025</x:v>
      </x:c>
      <x:c r="C25" s="20" t="str">
        <x:v>Use as sensitivity/control; primary labor series remains local-currency manufacturing wage growth</x:v>
      </x:c>
      <x:c r="D25" s="20" t="str">
        <x:v>Yes — EXCHUS source already logged</x:v>
      </x:c>
      <x:c r="E25" s="20"/>
      <x:c r="F25" s="20"/>
      <x:c r="G25" s="20"/>
      <x:c r="H25" s="20"/>
      <x:c r="I25" s="20"/>
      <x:c r="J25" s="20"/>
      <x:c r="K25" s="20"/>
      <x:c r="L25" s="20"/>
      <x:c r="M25" s="20"/>
      <x:c r="N25" s="20"/>
      <x:c r="O25" s="20"/>
      <x:c r="P25" s="20"/>
      <x:c r="Q25" s="20"/>
      <x:c r="R25" s="20"/>
      <x:c r="S25" s="20"/>
      <x:c r="T25" s="20"/>
      <x:c r="U25" s="20"/>
      <x:c r="V25" s="20"/>
      <x:c r="W25" s="20"/>
      <x:c r="X25" s="20"/>
      <x:c r="Y25" s="20"/>
      <x:c r="Z25" s="20"/>
    </x:row>
    <x:row r="26">
      <x:c r="A26" s="20" t="str">
        <x:v>Labor sensitivity range</x:v>
      </x:c>
      <x:c r="B26" s="20" t="str">
        <x:v>Low/base/high labor-pressure envelope completed using China FX-adjusted wages, Vietnam/India benchmarks, 2025 Hasbro China sourcing exposure, and historical labor share of COGS</x:v>
      </x:c>
      <x:c r="C26" s="20" t="str">
        <x:v>Use in interpretation/robustness; do not force into core monthly regression or label as Marvel Legends-specific cost</x:v>
      </x:c>
      <x:c r="D26" s="20" t="str">
        <x:v>Complete enough — freeze unless materially better data emerge</x:v>
      </x:c>
      <x:c r="E26" s="20"/>
      <x:c r="F26" s="20"/>
      <x:c r="G26" s="20"/>
      <x:c r="H26" s="20"/>
      <x:c r="I26" s="20"/>
      <x:c r="J26" s="20"/>
      <x:c r="K26" s="20"/>
      <x:c r="L26" s="20"/>
      <x:c r="M26" s="20"/>
      <x:c r="N26" s="20"/>
      <x:c r="O26" s="20"/>
      <x:c r="P26" s="20"/>
      <x:c r="Q26" s="20"/>
      <x:c r="R26" s="20"/>
      <x:c r="S26" s="20"/>
      <x:c r="T26" s="20"/>
      <x:c r="U26" s="20"/>
      <x:c r="V26" s="20"/>
      <x:c r="W26" s="20"/>
      <x:c r="X26" s="20"/>
      <x:c r="Y26" s="20"/>
      <x:c r="Z26" s="20"/>
    </x:row>
    <x:row r="27">
      <x:c r="A27" s="20" t="str">
        <x:v>Packaging overlap / multicollinearity</x:v>
      </x:c>
      <x:c r="B27" s="20" t="str">
        <x:v>Four packaging PPIs tested in levels and monthly changes; level correlations 0.897–0.993 and VIFs 17.6–118.4</x:v>
      </x:c>
      <x:c r="C27" s="20" t="str">
        <x:v>Use equal-weight Jan-2019=100 packaging composite in core model; retain components for robustness</x:v>
      </x:c>
      <x:c r="D27" s="20" t="str">
        <x:v>Complete — no new source needed</x:v>
      </x:c>
      <x:c r="E27" s="20"/>
      <x:c r="F27" s="20"/>
      <x:c r="G27" s="20"/>
      <x:c r="H27" s="20"/>
      <x:c r="I27" s="20"/>
      <x:c r="J27" s="20"/>
      <x:c r="K27" s="20"/>
      <x:c r="L27" s="20"/>
      <x:c r="M27" s="20"/>
      <x:c r="N27" s="20"/>
      <x:c r="O27" s="20"/>
      <x:c r="P27" s="20"/>
      <x:c r="Q27" s="20"/>
      <x:c r="R27" s="20"/>
      <x:c r="S27" s="20"/>
      <x:c r="T27" s="20"/>
      <x:c r="U27" s="20"/>
      <x:c r="V27" s="20"/>
      <x:c r="W27" s="20"/>
      <x:c r="X27" s="20"/>
      <x:c r="Y27" s="20"/>
      <x:c r="Z27" s="20"/>
    </x:row>
    <x:row r="28">
      <x:c r="A28" s="20" t="str">
        <x:v>MSRP / sample audit</x:v>
      </x:c>
      <x:c r="B28" s="20" t="str">
        <x:v>Four standard MSRP regimes and three transition dates rechecked against existing product-level and Hasbro timing evidence; sample rules remain internally consistent</x:v>
      </x:c>
      <x:c r="C28" s="20" t="str">
        <x:v>Use analytical breakpoints with explicit retail overlap; do not treat 92 monthly rows as 92 independent price decisions</x:v>
      </x:c>
      <x:c r="D28" s="20" t="str">
        <x:v>Complete — ready for model preparation</x:v>
      </x:c>
      <x:c r="E28" s="20"/>
      <x:c r="F28" s="20"/>
      <x:c r="G28" s="20"/>
      <x:c r="H28" s="20"/>
      <x:c r="I28" s="20"/>
      <x:c r="J28" s="20"/>
      <x:c r="K28" s="20"/>
      <x:c r="L28" s="20"/>
      <x:c r="M28" s="20"/>
      <x:c r="N28" s="20"/>
      <x:c r="O28" s="20"/>
      <x:c r="P28" s="20"/>
      <x:c r="Q28" s="20"/>
      <x:c r="R28" s="20"/>
      <x:c r="S28" s="20"/>
      <x:c r="T28" s="20"/>
      <x:c r="U28" s="20"/>
      <x:c r="V28" s="20"/>
      <x:c r="W28" s="20"/>
      <x:c r="X28" s="20"/>
      <x:c r="Y28" s="20"/>
      <x:c r="Z28" s="20"/>
    </x:row>
    <x:row r="29">
      <x:c r="A29" s="20" t="str">
        <x:v>Specific plastics decision</x:v>
      </x:c>
      <x:c r="B29" s="20" t="str">
        <x:v>Broad thermoplastic plastics/resin PPI retained as core materials measure</x:v>
      </x:c>
      <x:c r="C29" s="20" t="str">
        <x:v>Skip speculative PVC/ABS/POM mix and Hasbro per-pound price reconstruction unless materially better data appear</x:v>
      </x:c>
      <x:c r="D29" s="20" t="str">
        <x:v>Complete — rabbit hole closed</x:v>
      </x:c>
      <x:c r="E29" s="20"/>
      <x:c r="F29" s="20"/>
      <x:c r="G29" s="20"/>
      <x:c r="H29" s="20"/>
      <x:c r="I29" s="20"/>
      <x:c r="J29" s="20"/>
      <x:c r="K29" s="20"/>
      <x:c r="L29" s="20"/>
      <x:c r="M29" s="20"/>
      <x:c r="N29" s="20"/>
      <x:c r="O29" s="20"/>
      <x:c r="P29" s="20"/>
      <x:c r="Q29" s="20"/>
      <x:c r="R29" s="20"/>
      <x:c r="S29" s="20"/>
      <x:c r="T29" s="20"/>
      <x:c r="U29" s="20"/>
      <x:c r="V29" s="20"/>
      <x:c r="W29" s="20"/>
      <x:c r="X29" s="20"/>
      <x:c r="Y29" s="20"/>
      <x:c r="Z29" s="20"/>
    </x:row>
    <x:row r="30">
      <x:c r="A30" s="20" t="str">
        <x:v>Model-prep diagnostics</x:v>
      </x:c>
      <x:c r="B30" s="20" t="str">
        <x:v>Core supply variables tested for level correlation, monthly-change correlation, VIF, 0/3/6/9/12-month lag correlation with MSRP, and 6/12-month pre-transition cost changes</x:v>
      </x:c>
      <x:c r="C30" s="20" t="str">
        <x:v>Use to choose alternate specifications and transition-window evidence before formal regression</x:v>
      </x:c>
      <x:c r="D30" s="20" t="str">
        <x:v>Complete — ready for first regression design</x:v>
      </x:c>
      <x:c r="E30" s="20"/>
      <x:c r="F30" s="20"/>
      <x:c r="G30" s="20"/>
      <x:c r="H30" s="20"/>
      <x:c r="I30" s="20"/>
      <x:c r="J30" s="20"/>
      <x:c r="K30" s="20"/>
      <x:c r="L30" s="20"/>
      <x:c r="M30" s="20"/>
      <x:c r="N30" s="20"/>
      <x:c r="O30" s="20"/>
      <x:c r="P30" s="20"/>
      <x:c r="Q30" s="20"/>
      <x:c r="R30" s="20"/>
      <x:c r="S30" s="20"/>
      <x:c r="T30" s="20"/>
      <x:c r="U30" s="20"/>
      <x:c r="V30" s="20"/>
      <x:c r="W30" s="20"/>
      <x:c r="X30" s="20"/>
      <x:c r="Y30" s="20"/>
      <x:c r="Z30" s="20"/>
    </x:row>
    <x:row r="31">
      <x:c r="A31" s="20" t="str">
        <x:v>Exploratory regression</x:v>
      </x:c>
      <x:c r="B31" s="20" t="str">
        <x:v>Annual-change reduced, packaging-alternative, broad-composite, and naive-level diagnostic models completed with HAC/Newey-West 12-lag robust errors</x:v>
      </x:c>
      <x:c r="C31" s="20" t="str">
        <x:v>Use annual-change models as statistical companion to transition windows; reject kitchen-sink level model for headline interpretation</x:v>
      </x:c>
      <x:c r="D31" s="20" t="str">
        <x:v>Complete — first regression round</x:v>
      </x:c>
      <x:c r="E31" s="20"/>
      <x:c r="F31" s="20"/>
      <x:c r="G31" s="20"/>
      <x:c r="H31" s="20"/>
      <x:c r="I31" s="20"/>
      <x:c r="J31" s="20"/>
      <x:c r="K31" s="20"/>
      <x:c r="L31" s="20"/>
      <x:c r="M31" s="20"/>
      <x:c r="N31" s="20"/>
      <x:c r="O31" s="20"/>
      <x:c r="P31" s="20"/>
      <x:c r="Q31" s="20"/>
      <x:c r="R31" s="20"/>
      <x:c r="S31" s="20"/>
      <x:c r="T31" s="20"/>
      <x:c r="U31" s="20"/>
      <x:c r="V31" s="20"/>
      <x:c r="W31" s="20"/>
      <x:c r="X31" s="20"/>
      <x:c r="Y31" s="20"/>
      <x:c r="Z31" s="20"/>
    </x:row>
    <x:row r="32">
      <x:c r="A32" s="20" t="str">
        <x:v>Regression lag / robustness round</x:v>
      </x:c>
      <x:c r="B32" s="20" t="str">
        <x:v>Common 0/3/6/9/12-month supply lags plus mixed-timing, supply-only, and pre-Sep-2025 sample checks completed</x:v>
      </x:c>
      <x:c r="C32" s="20" t="str">
        <x:v>Keep 0-month annual-change model as baseline; use lag family and alternate samples/specifications as robustness evidence</x:v>
      </x:c>
      <x:c r="D32" s="20" t="str">
        <x:v>Complete — findings stress-tested</x:v>
      </x:c>
      <x:c r="E32" s="20"/>
      <x:c r="F32" s="20"/>
      <x:c r="G32" s="20"/>
      <x:c r="H32" s="20"/>
      <x:c r="I32" s="20"/>
      <x:c r="J32" s="20"/>
      <x:c r="K32" s="20"/>
      <x:c r="L32" s="20"/>
      <x:c r="M32" s="20"/>
      <x:c r="N32" s="20"/>
      <x:c r="O32" s="20"/>
      <x:c r="P32" s="20"/>
      <x:c r="Q32" s="20"/>
      <x:c r="R32" s="20"/>
      <x:c r="S32" s="20"/>
      <x:c r="T32" s="20"/>
      <x:c r="U32" s="20"/>
      <x:c r="V32" s="20"/>
      <x:c r="W32" s="20"/>
      <x:c r="X32" s="20"/>
      <x:c r="Y32" s="20"/>
      <x:c r="Z32" s="20"/>
    </x:row>
    <x:row r="33">
      <x:c r="A33" s="20" t="str">
        <x:v>Evidence synthesis</x:v>
      </x:c>
      <x:c r="B33" s="20" t="str">
        <x:v>Transition-window, regression, labor, tariff, demand, and Hasbro timing evidence combined into a single comparative interpretation</x:v>
      </x:c>
      <x:c r="C33" s="20" t="str">
        <x:v>Use as the bridge from analysis to paper drafting; emphasize that 2021, 2022, and 2025 have different cost backdrops</x:v>
      </x:c>
      <x:c r="D33" s="20" t="str">
        <x:v>Complete — ready to draft results</x:v>
      </x:c>
      <x:c r="E33" s="20"/>
      <x:c r="F33" s="20"/>
      <x:c r="G33" s="20"/>
      <x:c r="H33" s="20"/>
      <x:c r="I33" s="20"/>
      <x:c r="J33" s="20"/>
      <x:c r="K33" s="20"/>
      <x:c r="L33" s="20"/>
      <x:c r="M33" s="20"/>
      <x:c r="N33" s="20"/>
      <x:c r="O33" s="20"/>
      <x:c r="P33" s="20"/>
      <x:c r="Q33" s="20"/>
      <x:c r="R33" s="20"/>
      <x:c r="S33" s="20"/>
      <x:c r="T33" s="20"/>
      <x:c r="U33" s="20"/>
      <x:c r="V33" s="20"/>
      <x:c r="W33" s="20"/>
      <x:c r="X33" s="20"/>
      <x:c r="Y33" s="20"/>
      <x:c r="Z33" s="20"/>
    </x:row>
    <x:row r="34">
      <x:c r="A34" s="20" t="str">
        <x:v>Decision appendix draft</x:v>
      </x:c>
      <x:c r="B34" s="20" t="str">
        <x:v>Short plain-English research-decision entries created for key methodology choices</x:v>
      </x:c>
      <x:c r="C34" s="20" t="str">
        <x:v>Keep concise and reader-friendly; use appendix for reasoning that would otherwise interrupt the main paper</x:v>
      </x:c>
      <x:c r="D34" s="20" t="str">
        <x:v>Drafted — refine during paper writing</x:v>
      </x:c>
      <x:c r="E34" s="20"/>
      <x:c r="F34" s="20"/>
      <x:c r="G34" s="20"/>
      <x:c r="H34" s="20"/>
      <x:c r="I34" s="20"/>
      <x:c r="J34" s="20"/>
      <x:c r="K34" s="20"/>
      <x:c r="L34" s="20"/>
      <x:c r="M34" s="20"/>
      <x:c r="N34" s="20"/>
      <x:c r="O34" s="20"/>
      <x:c r="P34" s="20"/>
      <x:c r="Q34" s="20"/>
      <x:c r="R34" s="20"/>
      <x:c r="S34" s="20"/>
      <x:c r="T34" s="20"/>
      <x:c r="U34" s="20"/>
      <x:c r="V34" s="20"/>
      <x:c r="W34" s="20"/>
      <x:c r="X34" s="20"/>
      <x:c r="Y34" s="20"/>
      <x:c r="Z34" s="20"/>
    </x:row>
    <x:row r="35">
      <x:c r="A35" s="20"/>
      <x:c r="B35" s="20"/>
      <x:c r="C35" s="20"/>
      <x:c r="D35" s="20"/>
      <x:c r="E35" s="20"/>
      <x:c r="F35" s="20"/>
      <x:c r="G35" s="20"/>
      <x:c r="H35" s="20"/>
      <x:c r="I35" s="20"/>
      <x:c r="J35" s="20"/>
      <x:c r="K35" s="20"/>
      <x:c r="L35" s="20"/>
      <x:c r="M35" s="20"/>
      <x:c r="N35" s="20"/>
      <x:c r="O35" s="20"/>
      <x:c r="P35" s="20"/>
      <x:c r="Q35" s="20"/>
      <x:c r="R35" s="20"/>
      <x:c r="S35" s="20"/>
      <x:c r="T35" s="20"/>
      <x:c r="U35" s="20"/>
      <x:c r="V35" s="20"/>
      <x:c r="W35" s="20"/>
      <x:c r="X35" s="20"/>
      <x:c r="Y35" s="20"/>
      <x:c r="Z35" s="20"/>
    </x:row>
    <x:row r="36">
      <x:c r="A36" s="20"/>
      <x:c r="B36" s="20"/>
      <x:c r="C36" s="20"/>
      <x:c r="D36" s="20"/>
      <x:c r="E36" s="20"/>
      <x:c r="F36" s="20"/>
      <x:c r="G36" s="20"/>
      <x:c r="H36" s="20"/>
      <x:c r="I36" s="20"/>
      <x:c r="J36" s="20"/>
      <x:c r="K36" s="20"/>
      <x:c r="L36" s="20"/>
      <x:c r="M36" s="20"/>
      <x:c r="N36" s="20"/>
      <x:c r="O36" s="20"/>
      <x:c r="P36" s="20"/>
      <x:c r="Q36" s="20"/>
      <x:c r="R36" s="20"/>
      <x:c r="S36" s="20"/>
      <x:c r="T36" s="20"/>
      <x:c r="U36" s="20"/>
      <x:c r="V36" s="20"/>
      <x:c r="W36" s="20"/>
      <x:c r="X36" s="20"/>
      <x:c r="Y36" s="20"/>
      <x:c r="Z36" s="20"/>
    </x:row>
    <x:row r="37">
      <x:c r="A37" s="20"/>
      <x:c r="B37" s="20"/>
      <x:c r="C37" s="20"/>
      <x:c r="D37" s="20"/>
      <x:c r="E37" s="20"/>
      <x:c r="F37" s="20"/>
      <x:c r="G37" s="20"/>
      <x:c r="H37" s="20"/>
      <x:c r="I37" s="20"/>
      <x:c r="J37" s="20"/>
      <x:c r="K37" s="20"/>
      <x:c r="L37" s="20"/>
      <x:c r="M37" s="20"/>
      <x:c r="N37" s="20"/>
      <x:c r="O37" s="20"/>
      <x:c r="P37" s="20"/>
      <x:c r="Q37" s="20"/>
      <x:c r="R37" s="20"/>
      <x:c r="S37" s="20"/>
      <x:c r="T37" s="20"/>
      <x:c r="U37" s="20"/>
      <x:c r="V37" s="20"/>
      <x:c r="W37" s="20"/>
      <x:c r="X37" s="20"/>
      <x:c r="Y37" s="20"/>
      <x:c r="Z37" s="20"/>
    </x:row>
    <x:row r="38">
      <x:c r="A38" s="20"/>
      <x:c r="B38" s="20"/>
      <x:c r="C38" s="20"/>
      <x:c r="D38" s="20"/>
      <x:c r="E38" s="20"/>
      <x:c r="F38" s="20"/>
      <x:c r="G38" s="20"/>
      <x:c r="H38" s="20"/>
      <x:c r="I38" s="20"/>
      <x:c r="J38" s="20"/>
      <x:c r="K38" s="20"/>
      <x:c r="L38" s="20"/>
      <x:c r="M38" s="20"/>
      <x:c r="N38" s="20"/>
      <x:c r="O38" s="20"/>
      <x:c r="P38" s="20"/>
      <x:c r="Q38" s="20"/>
      <x:c r="R38" s="20"/>
      <x:c r="S38" s="20"/>
      <x:c r="T38" s="20"/>
      <x:c r="U38" s="20"/>
      <x:c r="V38" s="20"/>
      <x:c r="W38" s="20"/>
      <x:c r="X38" s="20"/>
      <x:c r="Y38" s="20"/>
      <x:c r="Z38" s="20"/>
    </x:row>
    <x:row r="39">
      <x:c r="A39" s="20"/>
      <x:c r="B39" s="20"/>
      <x:c r="C39" s="20"/>
      <x:c r="D39" s="20"/>
      <x:c r="E39" s="20"/>
      <x:c r="F39" s="20"/>
      <x:c r="G39" s="20"/>
      <x:c r="H39" s="20"/>
      <x:c r="I39" s="20"/>
      <x:c r="J39" s="20"/>
      <x:c r="K39" s="20"/>
      <x:c r="L39" s="20"/>
      <x:c r="M39" s="20"/>
      <x:c r="N39" s="20"/>
      <x:c r="O39" s="20"/>
      <x:c r="P39" s="20"/>
      <x:c r="Q39" s="20"/>
      <x:c r="R39" s="20"/>
      <x:c r="S39" s="20"/>
      <x:c r="T39" s="20"/>
      <x:c r="U39" s="20"/>
      <x:c r="V39" s="20"/>
      <x:c r="W39" s="20"/>
      <x:c r="X39" s="20"/>
      <x:c r="Y39" s="20"/>
      <x:c r="Z39" s="20"/>
    </x:row>
    <x:row r="40">
      <x:c r="A40" s="20"/>
      <x:c r="B40" s="20"/>
      <x:c r="C40" s="20"/>
      <x:c r="D40" s="20"/>
      <x:c r="E40" s="20"/>
      <x:c r="F40" s="20"/>
      <x:c r="G40" s="20"/>
      <x:c r="H40" s="20"/>
      <x:c r="I40" s="20"/>
      <x:c r="J40" s="20"/>
      <x:c r="K40" s="20"/>
      <x:c r="L40" s="20"/>
      <x:c r="M40" s="20"/>
      <x:c r="N40" s="20"/>
      <x:c r="O40" s="20"/>
      <x:c r="P40" s="20"/>
      <x:c r="Q40" s="20"/>
      <x:c r="R40" s="20"/>
      <x:c r="S40" s="20"/>
      <x:c r="T40" s="20"/>
      <x:c r="U40" s="20"/>
      <x:c r="V40" s="20"/>
      <x:c r="W40" s="20"/>
      <x:c r="X40" s="20"/>
      <x:c r="Y40" s="20"/>
      <x:c r="Z40" s="20"/>
    </x:row>
    <x:row r="41">
      <x:c r="A41" s="20"/>
      <x:c r="B41" s="20"/>
      <x:c r="C41" s="20"/>
      <x:c r="D41" s="20"/>
      <x:c r="E41" s="20"/>
      <x:c r="F41" s="20"/>
      <x:c r="G41" s="20"/>
      <x:c r="H41" s="20"/>
      <x:c r="I41" s="20"/>
      <x:c r="J41" s="20"/>
      <x:c r="K41" s="20"/>
      <x:c r="L41" s="20"/>
      <x:c r="M41" s="20"/>
      <x:c r="N41" s="20"/>
      <x:c r="O41" s="20"/>
      <x:c r="P41" s="20"/>
      <x:c r="Q41" s="20"/>
      <x:c r="R41" s="20"/>
      <x:c r="S41" s="20"/>
      <x:c r="T41" s="20"/>
      <x:c r="U41" s="20"/>
      <x:c r="V41" s="20"/>
      <x:c r="W41" s="20"/>
      <x:c r="X41" s="20"/>
      <x:c r="Y41" s="20"/>
      <x:c r="Z41" s="20"/>
    </x:row>
    <x:row r="42">
      <x:c r="A42" s="20"/>
      <x:c r="B42" s="20"/>
      <x:c r="C42" s="20"/>
      <x:c r="D42" s="20"/>
      <x:c r="E42" s="20"/>
      <x:c r="F42" s="20"/>
      <x:c r="G42" s="20"/>
      <x:c r="H42" s="20"/>
      <x:c r="I42" s="20"/>
      <x:c r="J42" s="20"/>
      <x:c r="K42" s="20"/>
      <x:c r="L42" s="20"/>
      <x:c r="M42" s="20"/>
      <x:c r="N42" s="20"/>
      <x:c r="O42" s="20"/>
      <x:c r="P42" s="20"/>
      <x:c r="Q42" s="20"/>
      <x:c r="R42" s="20"/>
      <x:c r="S42" s="20"/>
      <x:c r="T42" s="20"/>
      <x:c r="U42" s="20"/>
      <x:c r="V42" s="20"/>
      <x:c r="W42" s="20"/>
      <x:c r="X42" s="20"/>
      <x:c r="Y42" s="20"/>
      <x:c r="Z42" s="20"/>
    </x:row>
    <x:row r="43">
      <x:c r="A43" s="20"/>
      <x:c r="B43" s="20"/>
      <x:c r="C43" s="20"/>
      <x:c r="D43" s="20"/>
      <x:c r="E43" s="20"/>
      <x:c r="F43" s="20"/>
      <x:c r="G43" s="20"/>
      <x:c r="H43" s="20"/>
      <x:c r="I43" s="20"/>
      <x:c r="J43" s="20"/>
      <x:c r="K43" s="20"/>
      <x:c r="L43" s="20"/>
      <x:c r="M43" s="20"/>
      <x:c r="N43" s="20"/>
      <x:c r="O43" s="20"/>
      <x:c r="P43" s="20"/>
      <x:c r="Q43" s="20"/>
      <x:c r="R43" s="20"/>
      <x:c r="S43" s="20"/>
      <x:c r="T43" s="20"/>
      <x:c r="U43" s="20"/>
      <x:c r="V43" s="20"/>
      <x:c r="W43" s="20"/>
      <x:c r="X43" s="20"/>
      <x:c r="Y43" s="20"/>
      <x:c r="Z43" s="20"/>
    </x:row>
    <x:row r="44">
      <x:c r="A44" s="20"/>
      <x:c r="B44" s="20"/>
      <x:c r="C44" s="20"/>
      <x:c r="D44" s="20"/>
      <x:c r="E44" s="20"/>
      <x:c r="F44" s="20"/>
      <x:c r="G44" s="20"/>
      <x:c r="H44" s="20"/>
      <x:c r="I44" s="20"/>
      <x:c r="J44" s="20"/>
      <x:c r="K44" s="20"/>
      <x:c r="L44" s="20"/>
      <x:c r="M44" s="20"/>
      <x:c r="N44" s="20"/>
      <x:c r="O44" s="20"/>
      <x:c r="P44" s="20"/>
      <x:c r="Q44" s="20"/>
      <x:c r="R44" s="20"/>
      <x:c r="S44" s="20"/>
      <x:c r="T44" s="20"/>
      <x:c r="U44" s="20"/>
      <x:c r="V44" s="20"/>
      <x:c r="W44" s="20"/>
      <x:c r="X44" s="20"/>
      <x:c r="Y44" s="20"/>
      <x:c r="Z44" s="20"/>
    </x:row>
    <x:row r="45">
      <x:c r="A45" s="20"/>
      <x:c r="B45" s="20"/>
      <x:c r="C45" s="20"/>
      <x:c r="D45" s="20"/>
      <x:c r="E45" s="20"/>
      <x:c r="F45" s="20"/>
      <x:c r="G45" s="20"/>
      <x:c r="H45" s="20"/>
      <x:c r="I45" s="20"/>
      <x:c r="J45" s="20"/>
      <x:c r="K45" s="20"/>
      <x:c r="L45" s="20"/>
      <x:c r="M45" s="20"/>
      <x:c r="N45" s="20"/>
      <x:c r="O45" s="20"/>
      <x:c r="P45" s="20"/>
      <x:c r="Q45" s="20"/>
      <x:c r="R45" s="20"/>
      <x:c r="S45" s="20"/>
      <x:c r="T45" s="20"/>
      <x:c r="U45" s="20"/>
      <x:c r="V45" s="20"/>
      <x:c r="W45" s="20"/>
      <x:c r="X45" s="20"/>
      <x:c r="Y45" s="20"/>
      <x:c r="Z45" s="20"/>
    </x:row>
    <x:row r="46">
      <x:c r="A46" s="20"/>
      <x:c r="B46" s="20"/>
      <x:c r="C46" s="20"/>
      <x:c r="D46" s="20"/>
      <x:c r="E46" s="20"/>
      <x:c r="F46" s="20"/>
      <x:c r="G46" s="20"/>
      <x:c r="H46" s="20"/>
      <x:c r="I46" s="20"/>
      <x:c r="J46" s="20"/>
      <x:c r="K46" s="20"/>
      <x:c r="L46" s="20"/>
      <x:c r="M46" s="20"/>
      <x:c r="N46" s="20"/>
      <x:c r="O46" s="20"/>
      <x:c r="P46" s="20"/>
      <x:c r="Q46" s="20"/>
      <x:c r="R46" s="20"/>
      <x:c r="S46" s="20"/>
      <x:c r="T46" s="20"/>
      <x:c r="U46" s="20"/>
      <x:c r="V46" s="20"/>
      <x:c r="W46" s="20"/>
      <x:c r="X46" s="20"/>
      <x:c r="Y46" s="20"/>
      <x:c r="Z46" s="20"/>
    </x:row>
    <x:row r="47">
      <x:c r="A47" s="20"/>
      <x:c r="B47" s="20"/>
      <x:c r="C47" s="20"/>
      <x:c r="D47" s="20"/>
      <x:c r="E47" s="20"/>
      <x:c r="F47" s="20"/>
      <x:c r="G47" s="20"/>
      <x:c r="H47" s="20"/>
      <x:c r="I47" s="20"/>
      <x:c r="J47" s="20"/>
      <x:c r="K47" s="20"/>
      <x:c r="L47" s="20"/>
      <x:c r="M47" s="20"/>
      <x:c r="N47" s="20"/>
      <x:c r="O47" s="20"/>
      <x:c r="P47" s="20"/>
      <x:c r="Q47" s="20"/>
      <x:c r="R47" s="20"/>
      <x:c r="S47" s="20"/>
      <x:c r="T47" s="20"/>
      <x:c r="U47" s="20"/>
      <x:c r="V47" s="20"/>
      <x:c r="W47" s="20"/>
      <x:c r="X47" s="20"/>
      <x:c r="Y47" s="20"/>
      <x:c r="Z47" s="20"/>
    </x:row>
    <x:row r="48">
      <x:c r="A48" s="20"/>
      <x:c r="B48" s="20"/>
      <x:c r="C48" s="20"/>
      <x:c r="D48" s="20"/>
      <x:c r="E48" s="20"/>
      <x:c r="F48" s="20"/>
      <x:c r="G48" s="20"/>
      <x:c r="H48" s="20"/>
      <x:c r="I48" s="20"/>
      <x:c r="J48" s="20"/>
      <x:c r="K48" s="20"/>
      <x:c r="L48" s="20"/>
      <x:c r="M48" s="20"/>
      <x:c r="N48" s="20"/>
      <x:c r="O48" s="20"/>
      <x:c r="P48" s="20"/>
      <x:c r="Q48" s="20"/>
      <x:c r="R48" s="20"/>
      <x:c r="S48" s="20"/>
      <x:c r="T48" s="20"/>
      <x:c r="U48" s="20"/>
      <x:c r="V48" s="20"/>
      <x:c r="W48" s="20"/>
      <x:c r="X48" s="20"/>
      <x:c r="Y48" s="20"/>
      <x:c r="Z48" s="20"/>
    </x:row>
    <x:row r="49">
      <x:c r="A49" s="20"/>
      <x:c r="B49" s="20"/>
      <x:c r="C49" s="20"/>
      <x:c r="D49" s="20"/>
      <x:c r="E49" s="20"/>
      <x:c r="F49" s="20"/>
      <x:c r="G49" s="20"/>
      <x:c r="H49" s="20"/>
      <x:c r="I49" s="20"/>
      <x:c r="J49" s="20"/>
      <x:c r="K49" s="20"/>
      <x:c r="L49" s="20"/>
      <x:c r="M49" s="20"/>
      <x:c r="N49" s="20"/>
      <x:c r="O49" s="20"/>
      <x:c r="P49" s="20"/>
      <x:c r="Q49" s="20"/>
      <x:c r="R49" s="20"/>
      <x:c r="S49" s="20"/>
      <x:c r="T49" s="20"/>
      <x:c r="U49" s="20"/>
      <x:c r="V49" s="20"/>
      <x:c r="W49" s="20"/>
      <x:c r="X49" s="20"/>
      <x:c r="Y49" s="20"/>
      <x:c r="Z49" s="20"/>
    </x:row>
    <x:row r="50">
      <x:c r="A50" s="20"/>
      <x:c r="B50" s="20"/>
      <x:c r="C50" s="20"/>
      <x:c r="D50" s="20"/>
      <x:c r="E50" s="20"/>
      <x:c r="F50" s="20"/>
      <x:c r="G50" s="20"/>
      <x:c r="H50" s="20"/>
      <x:c r="I50" s="20"/>
      <x:c r="J50" s="20"/>
      <x:c r="K50" s="20"/>
      <x:c r="L50" s="20"/>
      <x:c r="M50" s="20"/>
      <x:c r="N50" s="20"/>
      <x:c r="O50" s="20"/>
      <x:c r="P50" s="20"/>
      <x:c r="Q50" s="20"/>
      <x:c r="R50" s="20"/>
      <x:c r="S50" s="20"/>
      <x:c r="T50" s="20"/>
      <x:c r="U50" s="20"/>
      <x:c r="V50" s="20"/>
      <x:c r="W50" s="20"/>
      <x:c r="X50" s="20"/>
      <x:c r="Y50" s="20"/>
      <x:c r="Z50" s="20"/>
    </x:row>
    <x:row r="51">
      <x:c r="A51" s="20"/>
      <x:c r="B51" s="20"/>
      <x:c r="C51" s="20"/>
      <x:c r="D51" s="20"/>
      <x:c r="E51" s="20"/>
      <x:c r="F51" s="20"/>
      <x:c r="G51" s="20"/>
      <x:c r="H51" s="20"/>
      <x:c r="I51" s="20"/>
      <x:c r="J51" s="20"/>
      <x:c r="K51" s="20"/>
      <x:c r="L51" s="20"/>
      <x:c r="M51" s="20"/>
      <x:c r="N51" s="20"/>
      <x:c r="O51" s="20"/>
      <x:c r="P51" s="20"/>
      <x:c r="Q51" s="20"/>
      <x:c r="R51" s="20"/>
      <x:c r="S51" s="20"/>
      <x:c r="T51" s="20"/>
      <x:c r="U51" s="20"/>
      <x:c r="V51" s="20"/>
      <x:c r="W51" s="20"/>
      <x:c r="X51" s="20"/>
      <x:c r="Y51" s="20"/>
      <x:c r="Z51" s="20"/>
    </x:row>
    <x:row r="52">
      <x:c r="A52" s="20"/>
      <x:c r="B52" s="20"/>
      <x:c r="C52" s="20"/>
      <x:c r="D52" s="20"/>
      <x:c r="E52" s="20"/>
      <x:c r="F52" s="20"/>
      <x:c r="G52" s="20"/>
      <x:c r="H52" s="20"/>
      <x:c r="I52" s="20"/>
      <x:c r="J52" s="20"/>
      <x:c r="K52" s="20"/>
      <x:c r="L52" s="20"/>
      <x:c r="M52" s="20"/>
      <x:c r="N52" s="20"/>
      <x:c r="O52" s="20"/>
      <x:c r="P52" s="20"/>
      <x:c r="Q52" s="20"/>
      <x:c r="R52" s="20"/>
      <x:c r="S52" s="20"/>
      <x:c r="T52" s="20"/>
      <x:c r="U52" s="20"/>
      <x:c r="V52" s="20"/>
      <x:c r="W52" s="20"/>
      <x:c r="X52" s="20"/>
      <x:c r="Y52" s="20"/>
      <x:c r="Z52" s="20"/>
    </x:row>
    <x:row r="53">
      <x:c r="A53" s="20"/>
      <x:c r="B53" s="20"/>
      <x:c r="C53" s="20"/>
      <x:c r="D53" s="20"/>
      <x:c r="E53" s="20"/>
      <x:c r="F53" s="20"/>
      <x:c r="G53" s="20"/>
      <x:c r="H53" s="20"/>
      <x:c r="I53" s="20"/>
      <x:c r="J53" s="20"/>
      <x:c r="K53" s="20"/>
      <x:c r="L53" s="20"/>
      <x:c r="M53" s="20"/>
      <x:c r="N53" s="20"/>
      <x:c r="O53" s="20"/>
      <x:c r="P53" s="20"/>
      <x:c r="Q53" s="20"/>
      <x:c r="R53" s="20"/>
      <x:c r="S53" s="20"/>
      <x:c r="T53" s="20"/>
      <x:c r="U53" s="20"/>
      <x:c r="V53" s="20"/>
      <x:c r="W53" s="20"/>
      <x:c r="X53" s="20"/>
      <x:c r="Y53" s="20"/>
      <x:c r="Z53" s="20"/>
    </x:row>
    <x:row r="54">
      <x:c r="A54" s="20"/>
      <x:c r="B54" s="20"/>
      <x:c r="C54" s="20"/>
      <x:c r="D54" s="20"/>
      <x:c r="E54" s="20"/>
      <x:c r="F54" s="20"/>
      <x:c r="G54" s="20"/>
      <x:c r="H54" s="20"/>
      <x:c r="I54" s="20"/>
      <x:c r="J54" s="20"/>
      <x:c r="K54" s="20"/>
      <x:c r="L54" s="20"/>
      <x:c r="M54" s="20"/>
      <x:c r="N54" s="20"/>
      <x:c r="O54" s="20"/>
      <x:c r="P54" s="20"/>
      <x:c r="Q54" s="20"/>
      <x:c r="R54" s="20"/>
      <x:c r="S54" s="20"/>
      <x:c r="T54" s="20"/>
      <x:c r="U54" s="20"/>
      <x:c r="V54" s="20"/>
      <x:c r="W54" s="20"/>
      <x:c r="X54" s="20"/>
      <x:c r="Y54" s="20"/>
      <x:c r="Z54" s="20"/>
    </x:row>
    <x:row r="55">
      <x:c r="A55" s="20"/>
      <x:c r="B55" s="20"/>
      <x:c r="C55" s="20"/>
      <x:c r="D55" s="20"/>
      <x:c r="E55" s="20"/>
      <x:c r="F55" s="20"/>
      <x:c r="G55" s="20"/>
      <x:c r="H55" s="20"/>
      <x:c r="I55" s="20"/>
      <x:c r="J55" s="20"/>
      <x:c r="K55" s="20"/>
      <x:c r="L55" s="20"/>
      <x:c r="M55" s="20"/>
      <x:c r="N55" s="20"/>
      <x:c r="O55" s="20"/>
      <x:c r="P55" s="20"/>
      <x:c r="Q55" s="20"/>
      <x:c r="R55" s="20"/>
      <x:c r="S55" s="20"/>
      <x:c r="T55" s="20"/>
      <x:c r="U55" s="20"/>
      <x:c r="V55" s="20"/>
      <x:c r="W55" s="20"/>
      <x:c r="X55" s="20"/>
      <x:c r="Y55" s="20"/>
      <x:c r="Z55" s="20"/>
    </x:row>
    <x:row r="56">
      <x:c r="A56" s="20"/>
      <x:c r="B56" s="20"/>
      <x:c r="C56" s="20"/>
      <x:c r="D56" s="20"/>
      <x:c r="E56" s="20"/>
      <x:c r="F56" s="20"/>
      <x:c r="G56" s="20"/>
      <x:c r="H56" s="20"/>
      <x:c r="I56" s="20"/>
      <x:c r="J56" s="20"/>
      <x:c r="K56" s="20"/>
      <x:c r="L56" s="20"/>
      <x:c r="M56" s="20"/>
      <x:c r="N56" s="20"/>
      <x:c r="O56" s="20"/>
      <x:c r="P56" s="20"/>
      <x:c r="Q56" s="20"/>
      <x:c r="R56" s="20"/>
      <x:c r="S56" s="20"/>
      <x:c r="T56" s="20"/>
      <x:c r="U56" s="20"/>
      <x:c r="V56" s="20"/>
      <x:c r="W56" s="20"/>
      <x:c r="X56" s="20"/>
      <x:c r="Y56" s="20"/>
      <x:c r="Z56" s="20"/>
    </x:row>
    <x:row r="57">
      <x:c r="A57" s="20"/>
      <x:c r="B57" s="20"/>
      <x:c r="C57" s="20"/>
      <x:c r="D57" s="20"/>
      <x:c r="E57" s="20"/>
      <x:c r="F57" s="20"/>
      <x:c r="G57" s="20"/>
      <x:c r="H57" s="20"/>
      <x:c r="I57" s="20"/>
      <x:c r="J57" s="20"/>
      <x:c r="K57" s="20"/>
      <x:c r="L57" s="20"/>
      <x:c r="M57" s="20"/>
      <x:c r="N57" s="20"/>
      <x:c r="O57" s="20"/>
      <x:c r="P57" s="20"/>
      <x:c r="Q57" s="20"/>
      <x:c r="R57" s="20"/>
      <x:c r="S57" s="20"/>
      <x:c r="T57" s="20"/>
      <x:c r="U57" s="20"/>
      <x:c r="V57" s="20"/>
      <x:c r="W57" s="20"/>
      <x:c r="X57" s="20"/>
      <x:c r="Y57" s="20"/>
      <x:c r="Z57" s="20"/>
    </x:row>
    <x:row r="58">
      <x:c r="A58" s="20"/>
      <x:c r="B58" s="20"/>
      <x:c r="C58" s="20"/>
      <x:c r="D58" s="20"/>
      <x:c r="E58" s="20"/>
      <x:c r="F58" s="20"/>
      <x:c r="G58" s="20"/>
      <x:c r="H58" s="20"/>
      <x:c r="I58" s="20"/>
      <x:c r="J58" s="20"/>
      <x:c r="K58" s="20"/>
      <x:c r="L58" s="20"/>
      <x:c r="M58" s="20"/>
      <x:c r="N58" s="20"/>
      <x:c r="O58" s="20"/>
      <x:c r="P58" s="20"/>
      <x:c r="Q58" s="20"/>
      <x:c r="R58" s="20"/>
      <x:c r="S58" s="20"/>
      <x:c r="T58" s="20"/>
      <x:c r="U58" s="20"/>
      <x:c r="V58" s="20"/>
      <x:c r="W58" s="20"/>
      <x:c r="X58" s="20"/>
      <x:c r="Y58" s="20"/>
      <x:c r="Z58" s="20"/>
    </x:row>
    <x:row r="59">
      <x:c r="A59" s="20"/>
      <x:c r="B59" s="20"/>
      <x:c r="C59" s="20"/>
      <x:c r="D59" s="20"/>
      <x:c r="E59" s="20"/>
      <x:c r="F59" s="20"/>
      <x:c r="G59" s="20"/>
      <x:c r="H59" s="20"/>
      <x:c r="I59" s="20"/>
      <x:c r="J59" s="20"/>
      <x:c r="K59" s="20"/>
      <x:c r="L59" s="20"/>
      <x:c r="M59" s="20"/>
      <x:c r="N59" s="20"/>
      <x:c r="O59" s="20"/>
      <x:c r="P59" s="20"/>
      <x:c r="Q59" s="20"/>
      <x:c r="R59" s="20"/>
      <x:c r="S59" s="20"/>
      <x:c r="T59" s="20"/>
      <x:c r="U59" s="20"/>
      <x:c r="V59" s="20"/>
      <x:c r="W59" s="20"/>
      <x:c r="X59" s="20"/>
      <x:c r="Y59" s="20"/>
      <x:c r="Z59" s="20"/>
    </x:row>
    <x:row r="60">
      <x:c r="A60" s="20"/>
      <x:c r="B60" s="20"/>
      <x:c r="C60" s="20"/>
      <x:c r="D60" s="20"/>
      <x:c r="E60" s="20"/>
      <x:c r="F60" s="20"/>
      <x:c r="G60" s="20"/>
      <x:c r="H60" s="20"/>
      <x:c r="I60" s="20"/>
      <x:c r="J60" s="20"/>
      <x:c r="K60" s="20"/>
      <x:c r="L60" s="20"/>
      <x:c r="M60" s="20"/>
      <x:c r="N60" s="20"/>
      <x:c r="O60" s="20"/>
      <x:c r="P60" s="20"/>
      <x:c r="Q60" s="20"/>
      <x:c r="R60" s="20"/>
      <x:c r="S60" s="20"/>
      <x:c r="T60" s="20"/>
      <x:c r="U60" s="20"/>
      <x:c r="V60" s="20"/>
      <x:c r="W60" s="20"/>
      <x:c r="X60" s="20"/>
      <x:c r="Y60" s="20"/>
      <x:c r="Z60" s="20"/>
    </x:row>
    <x:row r="61">
      <x:c r="A61" s="20"/>
      <x:c r="B61" s="20"/>
      <x:c r="C61" s="20"/>
      <x:c r="D61" s="20"/>
      <x:c r="E61" s="20"/>
      <x:c r="F61" s="20"/>
      <x:c r="G61" s="20"/>
      <x:c r="H61" s="20"/>
      <x:c r="I61" s="20"/>
      <x:c r="J61" s="20"/>
      <x:c r="K61" s="20"/>
      <x:c r="L61" s="20"/>
      <x:c r="M61" s="20"/>
      <x:c r="N61" s="20"/>
      <x:c r="O61" s="20"/>
      <x:c r="P61" s="20"/>
      <x:c r="Q61" s="20"/>
      <x:c r="R61" s="20"/>
      <x:c r="S61" s="20"/>
      <x:c r="T61" s="20"/>
      <x:c r="U61" s="20"/>
      <x:c r="V61" s="20"/>
      <x:c r="W61" s="20"/>
      <x:c r="X61" s="20"/>
      <x:c r="Y61" s="20"/>
      <x:c r="Z61" s="20"/>
    </x:row>
    <x:row r="62">
      <x:c r="A62" s="20"/>
      <x:c r="B62" s="20"/>
      <x:c r="C62" s="20"/>
      <x:c r="D62" s="20"/>
      <x:c r="E62" s="20"/>
      <x:c r="F62" s="20"/>
      <x:c r="G62" s="20"/>
      <x:c r="H62" s="20"/>
      <x:c r="I62" s="20"/>
      <x:c r="J62" s="20"/>
      <x:c r="K62" s="20"/>
      <x:c r="L62" s="20"/>
      <x:c r="M62" s="20"/>
      <x:c r="N62" s="20"/>
      <x:c r="O62" s="20"/>
      <x:c r="P62" s="20"/>
      <x:c r="Q62" s="20"/>
      <x:c r="R62" s="20"/>
      <x:c r="S62" s="20"/>
      <x:c r="T62" s="20"/>
      <x:c r="U62" s="20"/>
      <x:c r="V62" s="20"/>
      <x:c r="W62" s="20"/>
      <x:c r="X62" s="20"/>
      <x:c r="Y62" s="20"/>
      <x:c r="Z62" s="20"/>
    </x:row>
    <x:row r="63">
      <x:c r="A63" s="20"/>
      <x:c r="B63" s="20"/>
      <x:c r="C63" s="20"/>
      <x:c r="D63" s="20"/>
      <x:c r="E63" s="20"/>
      <x:c r="F63" s="20"/>
      <x:c r="G63" s="20"/>
      <x:c r="H63" s="20"/>
      <x:c r="I63" s="20"/>
      <x:c r="J63" s="20"/>
      <x:c r="K63" s="20"/>
      <x:c r="L63" s="20"/>
      <x:c r="M63" s="20"/>
      <x:c r="N63" s="20"/>
      <x:c r="O63" s="20"/>
      <x:c r="P63" s="20"/>
      <x:c r="Q63" s="20"/>
      <x:c r="R63" s="20"/>
      <x:c r="S63" s="20"/>
      <x:c r="T63" s="20"/>
      <x:c r="U63" s="20"/>
      <x:c r="V63" s="20"/>
      <x:c r="W63" s="20"/>
      <x:c r="X63" s="20"/>
      <x:c r="Y63" s="20"/>
      <x:c r="Z63" s="20"/>
    </x:row>
    <x:row r="64">
      <x:c r="A64" s="20"/>
      <x:c r="B64" s="20"/>
      <x:c r="C64" s="20"/>
      <x:c r="D64" s="20"/>
      <x:c r="E64" s="20"/>
      <x:c r="F64" s="20"/>
      <x:c r="G64" s="20"/>
      <x:c r="H64" s="20"/>
      <x:c r="I64" s="20"/>
      <x:c r="J64" s="20"/>
      <x:c r="K64" s="20"/>
      <x:c r="L64" s="20"/>
      <x:c r="M64" s="20"/>
      <x:c r="N64" s="20"/>
      <x:c r="O64" s="20"/>
      <x:c r="P64" s="20"/>
      <x:c r="Q64" s="20"/>
      <x:c r="R64" s="20"/>
      <x:c r="S64" s="20"/>
      <x:c r="T64" s="20"/>
      <x:c r="U64" s="20"/>
      <x:c r="V64" s="20"/>
      <x:c r="W64" s="20"/>
      <x:c r="X64" s="20"/>
      <x:c r="Y64" s="20"/>
      <x:c r="Z64" s="20"/>
    </x:row>
    <x:row r="65">
      <x:c r="A65" s="20"/>
      <x:c r="B65" s="20"/>
      <x:c r="C65" s="20"/>
      <x:c r="D65" s="20"/>
      <x:c r="E65" s="20"/>
      <x:c r="F65" s="20"/>
      <x:c r="G65" s="20"/>
      <x:c r="H65" s="20"/>
      <x:c r="I65" s="20"/>
      <x:c r="J65" s="20"/>
      <x:c r="K65" s="20"/>
      <x:c r="L65" s="20"/>
      <x:c r="M65" s="20"/>
      <x:c r="N65" s="20"/>
      <x:c r="O65" s="20"/>
      <x:c r="P65" s="20"/>
      <x:c r="Q65" s="20"/>
      <x:c r="R65" s="20"/>
      <x:c r="S65" s="20"/>
      <x:c r="T65" s="20"/>
      <x:c r="U65" s="20"/>
      <x:c r="V65" s="20"/>
      <x:c r="W65" s="20"/>
      <x:c r="X65" s="20"/>
      <x:c r="Y65" s="20"/>
      <x:c r="Z65" s="20"/>
    </x:row>
    <x:row r="66">
      <x:c r="A66" s="20"/>
      <x:c r="B66" s="20"/>
      <x:c r="C66" s="20"/>
      <x:c r="D66" s="20"/>
      <x:c r="E66" s="20"/>
      <x:c r="F66" s="20"/>
      <x:c r="G66" s="20"/>
      <x:c r="H66" s="20"/>
      <x:c r="I66" s="20"/>
      <x:c r="J66" s="20"/>
      <x:c r="K66" s="20"/>
      <x:c r="L66" s="20"/>
      <x:c r="M66" s="20"/>
      <x:c r="N66" s="20"/>
      <x:c r="O66" s="20"/>
      <x:c r="P66" s="20"/>
      <x:c r="Q66" s="20"/>
      <x:c r="R66" s="20"/>
      <x:c r="S66" s="20"/>
      <x:c r="T66" s="20"/>
      <x:c r="U66" s="20"/>
      <x:c r="V66" s="20"/>
      <x:c r="W66" s="20"/>
      <x:c r="X66" s="20"/>
      <x:c r="Y66" s="20"/>
      <x:c r="Z66" s="20"/>
    </x:row>
    <x:row r="67">
      <x:c r="A67" s="20"/>
      <x:c r="B67" s="20"/>
      <x:c r="C67" s="20"/>
      <x:c r="D67" s="20"/>
      <x:c r="E67" s="20"/>
      <x:c r="F67" s="20"/>
      <x:c r="G67" s="20"/>
      <x:c r="H67" s="20"/>
      <x:c r="I67" s="20"/>
      <x:c r="J67" s="20"/>
      <x:c r="K67" s="20"/>
      <x:c r="L67" s="20"/>
      <x:c r="M67" s="20"/>
      <x:c r="N67" s="20"/>
      <x:c r="O67" s="20"/>
      <x:c r="P67" s="20"/>
      <x:c r="Q67" s="20"/>
      <x:c r="R67" s="20"/>
      <x:c r="S67" s="20"/>
      <x:c r="T67" s="20"/>
      <x:c r="U67" s="20"/>
      <x:c r="V67" s="20"/>
      <x:c r="W67" s="20"/>
      <x:c r="X67" s="20"/>
      <x:c r="Y67" s="20"/>
      <x:c r="Z67" s="20"/>
    </x:row>
    <x:row r="68">
      <x:c r="A68" s="20"/>
      <x:c r="B68" s="20"/>
      <x:c r="C68" s="20"/>
      <x:c r="D68" s="20"/>
      <x:c r="E68" s="20"/>
      <x:c r="F68" s="20"/>
      <x:c r="G68" s="20"/>
      <x:c r="H68" s="20"/>
      <x:c r="I68" s="20"/>
      <x:c r="J68" s="20"/>
      <x:c r="K68" s="20"/>
      <x:c r="L68" s="20"/>
      <x:c r="M68" s="20"/>
      <x:c r="N68" s="20"/>
      <x:c r="O68" s="20"/>
      <x:c r="P68" s="20"/>
      <x:c r="Q68" s="20"/>
      <x:c r="R68" s="20"/>
      <x:c r="S68" s="20"/>
      <x:c r="T68" s="20"/>
      <x:c r="U68" s="20"/>
      <x:c r="V68" s="20"/>
      <x:c r="W68" s="20"/>
      <x:c r="X68" s="20"/>
      <x:c r="Y68" s="20"/>
      <x:c r="Z68" s="20"/>
    </x:row>
    <x:row r="69">
      <x:c r="A69" s="20"/>
      <x:c r="B69" s="20"/>
      <x:c r="C69" s="20"/>
      <x:c r="D69" s="20"/>
      <x:c r="E69" s="20"/>
      <x:c r="F69" s="20"/>
      <x:c r="G69" s="20"/>
      <x:c r="H69" s="20"/>
      <x:c r="I69" s="20"/>
      <x:c r="J69" s="20"/>
      <x:c r="K69" s="20"/>
      <x:c r="L69" s="20"/>
      <x:c r="M69" s="20"/>
      <x:c r="N69" s="20"/>
      <x:c r="O69" s="20"/>
      <x:c r="P69" s="20"/>
      <x:c r="Q69" s="20"/>
      <x:c r="R69" s="20"/>
      <x:c r="S69" s="20"/>
      <x:c r="T69" s="20"/>
      <x:c r="U69" s="20"/>
      <x:c r="V69" s="20"/>
      <x:c r="W69" s="20"/>
      <x:c r="X69" s="20"/>
      <x:c r="Y69" s="20"/>
      <x:c r="Z69" s="20"/>
    </x:row>
    <x:row r="70">
      <x:c r="A70" s="20"/>
      <x:c r="B70" s="20"/>
      <x:c r="C70" s="20"/>
      <x:c r="D70" s="20"/>
      <x:c r="E70" s="20"/>
      <x:c r="F70" s="20"/>
      <x:c r="G70" s="20"/>
      <x:c r="H70" s="20"/>
      <x:c r="I70" s="20"/>
      <x:c r="J70" s="20"/>
      <x:c r="K70" s="20"/>
      <x:c r="L70" s="20"/>
      <x:c r="M70" s="20"/>
      <x:c r="N70" s="20"/>
      <x:c r="O70" s="20"/>
      <x:c r="P70" s="20"/>
      <x:c r="Q70" s="20"/>
      <x:c r="R70" s="20"/>
      <x:c r="S70" s="20"/>
      <x:c r="T70" s="20"/>
      <x:c r="U70" s="20"/>
      <x:c r="V70" s="20"/>
      <x:c r="W70" s="20"/>
      <x:c r="X70" s="20"/>
      <x:c r="Y70" s="20"/>
      <x:c r="Z70" s="20"/>
    </x:row>
    <x:row r="71">
      <x:c r="A71" s="20"/>
      <x:c r="B71" s="20"/>
      <x:c r="C71" s="20"/>
      <x:c r="D71" s="20"/>
      <x:c r="E71" s="20"/>
      <x:c r="F71" s="20"/>
      <x:c r="G71" s="20"/>
      <x:c r="H71" s="20"/>
      <x:c r="I71" s="20"/>
      <x:c r="J71" s="20"/>
      <x:c r="K71" s="20"/>
      <x:c r="L71" s="20"/>
      <x:c r="M71" s="20"/>
      <x:c r="N71" s="20"/>
      <x:c r="O71" s="20"/>
      <x:c r="P71" s="20"/>
      <x:c r="Q71" s="20"/>
      <x:c r="R71" s="20"/>
      <x:c r="S71" s="20"/>
      <x:c r="T71" s="20"/>
      <x:c r="U71" s="20"/>
      <x:c r="V71" s="20"/>
      <x:c r="W71" s="20"/>
      <x:c r="X71" s="20"/>
      <x:c r="Y71" s="20"/>
      <x:c r="Z71" s="20"/>
    </x:row>
    <x:row r="72">
      <x:c r="A72" s="20"/>
      <x:c r="B72" s="20"/>
      <x:c r="C72" s="20"/>
      <x:c r="D72" s="20"/>
      <x:c r="E72" s="20"/>
      <x:c r="F72" s="20"/>
      <x:c r="G72" s="20"/>
      <x:c r="H72" s="20"/>
      <x:c r="I72" s="20"/>
      <x:c r="J72" s="20"/>
      <x:c r="K72" s="20"/>
      <x:c r="L72" s="20"/>
      <x:c r="M72" s="20"/>
      <x:c r="N72" s="20"/>
      <x:c r="O72" s="20"/>
      <x:c r="P72" s="20"/>
      <x:c r="Q72" s="20"/>
      <x:c r="R72" s="20"/>
      <x:c r="S72" s="20"/>
      <x:c r="T72" s="20"/>
      <x:c r="U72" s="20"/>
      <x:c r="V72" s="20"/>
      <x:c r="W72" s="20"/>
      <x:c r="X72" s="20"/>
      <x:c r="Y72" s="20"/>
      <x:c r="Z72" s="20"/>
    </x:row>
    <x:row r="73">
      <x:c r="A73" s="20"/>
      <x:c r="B73" s="20"/>
      <x:c r="C73" s="20"/>
      <x:c r="D73" s="20"/>
      <x:c r="E73" s="20"/>
      <x:c r="F73" s="20"/>
      <x:c r="G73" s="20"/>
      <x:c r="H73" s="20"/>
      <x:c r="I73" s="20"/>
      <x:c r="J73" s="20"/>
      <x:c r="K73" s="20"/>
      <x:c r="L73" s="20"/>
      <x:c r="M73" s="20"/>
      <x:c r="N73" s="20"/>
      <x:c r="O73" s="20"/>
      <x:c r="P73" s="20"/>
      <x:c r="Q73" s="20"/>
      <x:c r="R73" s="20"/>
      <x:c r="S73" s="20"/>
      <x:c r="T73" s="20"/>
      <x:c r="U73" s="20"/>
      <x:c r="V73" s="20"/>
      <x:c r="W73" s="20"/>
      <x:c r="X73" s="20"/>
      <x:c r="Y73" s="20"/>
      <x:c r="Z73" s="20"/>
    </x:row>
    <x:row r="74">
      <x:c r="A74" s="20"/>
      <x:c r="B74" s="20"/>
      <x:c r="C74" s="20"/>
      <x:c r="D74" s="20"/>
      <x:c r="E74" s="20"/>
      <x:c r="F74" s="20"/>
      <x:c r="G74" s="20"/>
      <x:c r="H74" s="20"/>
      <x:c r="I74" s="20"/>
      <x:c r="J74" s="20"/>
      <x:c r="K74" s="20"/>
      <x:c r="L74" s="20"/>
      <x:c r="M74" s="20"/>
      <x:c r="N74" s="20"/>
      <x:c r="O74" s="20"/>
      <x:c r="P74" s="20"/>
      <x:c r="Q74" s="20"/>
      <x:c r="R74" s="20"/>
      <x:c r="S74" s="20"/>
      <x:c r="T74" s="20"/>
      <x:c r="U74" s="20"/>
      <x:c r="V74" s="20"/>
      <x:c r="W74" s="20"/>
      <x:c r="X74" s="20"/>
      <x:c r="Y74" s="20"/>
      <x:c r="Z74" s="20"/>
    </x:row>
    <x:row r="75">
      <x:c r="A75" s="20"/>
      <x:c r="B75" s="20"/>
      <x:c r="C75" s="20"/>
      <x:c r="D75" s="20"/>
      <x:c r="E75" s="20"/>
      <x:c r="F75" s="20"/>
      <x:c r="G75" s="20"/>
      <x:c r="H75" s="20"/>
      <x:c r="I75" s="20"/>
      <x:c r="J75" s="20"/>
      <x:c r="K75" s="20"/>
      <x:c r="L75" s="20"/>
      <x:c r="M75" s="20"/>
      <x:c r="N75" s="20"/>
      <x:c r="O75" s="20"/>
      <x:c r="P75" s="20"/>
      <x:c r="Q75" s="20"/>
      <x:c r="R75" s="20"/>
      <x:c r="S75" s="20"/>
      <x:c r="T75" s="20"/>
      <x:c r="U75" s="20"/>
      <x:c r="V75" s="20"/>
      <x:c r="W75" s="20"/>
      <x:c r="X75" s="20"/>
      <x:c r="Y75" s="20"/>
      <x:c r="Z75" s="20"/>
    </x:row>
    <x:row r="76">
      <x:c r="A76" s="20"/>
      <x:c r="B76" s="20"/>
      <x:c r="C76" s="20"/>
      <x:c r="D76" s="20"/>
      <x:c r="E76" s="20"/>
      <x:c r="F76" s="20"/>
      <x:c r="G76" s="20"/>
      <x:c r="H76" s="20"/>
      <x:c r="I76" s="20"/>
      <x:c r="J76" s="20"/>
      <x:c r="K76" s="20"/>
      <x:c r="L76" s="20"/>
      <x:c r="M76" s="20"/>
      <x:c r="N76" s="20"/>
      <x:c r="O76" s="20"/>
      <x:c r="P76" s="20"/>
      <x:c r="Q76" s="20"/>
      <x:c r="R76" s="20"/>
      <x:c r="S76" s="20"/>
      <x:c r="T76" s="20"/>
      <x:c r="U76" s="20"/>
      <x:c r="V76" s="20"/>
      <x:c r="W76" s="20"/>
      <x:c r="X76" s="20"/>
      <x:c r="Y76" s="20"/>
      <x:c r="Z76" s="20"/>
    </x:row>
    <x:row r="77">
      <x:c r="A77" s="20"/>
      <x:c r="B77" s="20"/>
      <x:c r="C77" s="20"/>
      <x:c r="D77" s="20"/>
      <x:c r="E77" s="20"/>
      <x:c r="F77" s="20"/>
      <x:c r="G77" s="20"/>
      <x:c r="H77" s="20"/>
      <x:c r="I77" s="20"/>
      <x:c r="J77" s="20"/>
      <x:c r="K77" s="20"/>
      <x:c r="L77" s="20"/>
      <x:c r="M77" s="20"/>
      <x:c r="N77" s="20"/>
      <x:c r="O77" s="20"/>
      <x:c r="P77" s="20"/>
      <x:c r="Q77" s="20"/>
      <x:c r="R77" s="20"/>
      <x:c r="S77" s="20"/>
      <x:c r="T77" s="20"/>
      <x:c r="U77" s="20"/>
      <x:c r="V77" s="20"/>
      <x:c r="W77" s="20"/>
      <x:c r="X77" s="20"/>
      <x:c r="Y77" s="20"/>
      <x:c r="Z77" s="20"/>
    </x:row>
    <x:row r="78">
      <x:c r="A78" s="20"/>
      <x:c r="B78" s="20"/>
      <x:c r="C78" s="20"/>
      <x:c r="D78" s="20"/>
      <x:c r="E78" s="20"/>
      <x:c r="F78" s="20"/>
      <x:c r="G78" s="20"/>
      <x:c r="H78" s="20"/>
      <x:c r="I78" s="20"/>
      <x:c r="J78" s="20"/>
      <x:c r="K78" s="20"/>
      <x:c r="L78" s="20"/>
      <x:c r="M78" s="20"/>
      <x:c r="N78" s="20"/>
      <x:c r="O78" s="20"/>
      <x:c r="P78" s="20"/>
      <x:c r="Q78" s="20"/>
      <x:c r="R78" s="20"/>
      <x:c r="S78" s="20"/>
      <x:c r="T78" s="20"/>
      <x:c r="U78" s="20"/>
      <x:c r="V78" s="20"/>
      <x:c r="W78" s="20"/>
      <x:c r="X78" s="20"/>
      <x:c r="Y78" s="20"/>
      <x:c r="Z78" s="20"/>
    </x:row>
    <x:row r="79">
      <x:c r="A79" s="20"/>
      <x:c r="B79" s="20"/>
      <x:c r="C79" s="20"/>
      <x:c r="D79" s="20"/>
      <x:c r="E79" s="20"/>
      <x:c r="F79" s="20"/>
      <x:c r="G79" s="20"/>
      <x:c r="H79" s="20"/>
      <x:c r="I79" s="20"/>
      <x:c r="J79" s="20"/>
      <x:c r="K79" s="20"/>
      <x:c r="L79" s="20"/>
      <x:c r="M79" s="20"/>
      <x:c r="N79" s="20"/>
      <x:c r="O79" s="20"/>
      <x:c r="P79" s="20"/>
      <x:c r="Q79" s="20"/>
      <x:c r="R79" s="20"/>
      <x:c r="S79" s="20"/>
      <x:c r="T79" s="20"/>
      <x:c r="U79" s="20"/>
      <x:c r="V79" s="20"/>
      <x:c r="W79" s="20"/>
      <x:c r="X79" s="20"/>
      <x:c r="Y79" s="20"/>
      <x:c r="Z79" s="20"/>
    </x:row>
    <x:row r="80">
      <x:c r="A80" s="20"/>
      <x:c r="B80" s="20"/>
      <x:c r="C80" s="20"/>
      <x:c r="D80" s="20"/>
      <x:c r="E80" s="20"/>
      <x:c r="F80" s="20"/>
      <x:c r="G80" s="20"/>
      <x:c r="H80" s="20"/>
      <x:c r="I80" s="20"/>
      <x:c r="J80" s="20"/>
      <x:c r="K80" s="20"/>
      <x:c r="L80" s="20"/>
      <x:c r="M80" s="20"/>
      <x:c r="N80" s="20"/>
      <x:c r="O80" s="20"/>
      <x:c r="P80" s="20"/>
      <x:c r="Q80" s="20"/>
      <x:c r="R80" s="20"/>
      <x:c r="S80" s="20"/>
      <x:c r="T80" s="20"/>
      <x:c r="U80" s="20"/>
      <x:c r="V80" s="20"/>
      <x:c r="W80" s="20"/>
      <x:c r="X80" s="20"/>
      <x:c r="Y80" s="20"/>
      <x:c r="Z80" s="20"/>
    </x:row>
    <x:row r="81">
      <x:c r="A81" s="20"/>
      <x:c r="B81" s="20"/>
      <x:c r="C81" s="20"/>
      <x:c r="D81" s="20"/>
      <x:c r="E81" s="20"/>
      <x:c r="F81" s="20"/>
      <x:c r="G81" s="20"/>
      <x:c r="H81" s="20"/>
      <x:c r="I81" s="20"/>
      <x:c r="J81" s="20"/>
      <x:c r="K81" s="20"/>
      <x:c r="L81" s="20"/>
      <x:c r="M81" s="20"/>
      <x:c r="N81" s="20"/>
      <x:c r="O81" s="20"/>
      <x:c r="P81" s="20"/>
      <x:c r="Q81" s="20"/>
      <x:c r="R81" s="20"/>
      <x:c r="S81" s="20"/>
      <x:c r="T81" s="20"/>
      <x:c r="U81" s="20"/>
      <x:c r="V81" s="20"/>
      <x:c r="W81" s="20"/>
      <x:c r="X81" s="20"/>
      <x:c r="Y81" s="20"/>
      <x:c r="Z81" s="20"/>
    </x:row>
    <x:row r="82">
      <x:c r="A82" s="20"/>
      <x:c r="B82" s="20"/>
      <x:c r="C82" s="20"/>
      <x:c r="D82" s="20"/>
      <x:c r="E82" s="20"/>
      <x:c r="F82" s="20"/>
      <x:c r="G82" s="20"/>
      <x:c r="H82" s="20"/>
      <x:c r="I82" s="20"/>
      <x:c r="J82" s="20"/>
      <x:c r="K82" s="20"/>
      <x:c r="L82" s="20"/>
      <x:c r="M82" s="20"/>
      <x:c r="N82" s="20"/>
      <x:c r="O82" s="20"/>
      <x:c r="P82" s="20"/>
      <x:c r="Q82" s="20"/>
      <x:c r="R82" s="20"/>
      <x:c r="S82" s="20"/>
      <x:c r="T82" s="20"/>
      <x:c r="U82" s="20"/>
      <x:c r="V82" s="20"/>
      <x:c r="W82" s="20"/>
      <x:c r="X82" s="20"/>
      <x:c r="Y82" s="20"/>
      <x:c r="Z82" s="20"/>
    </x:row>
    <x:row r="83">
      <x:c r="A83" s="20"/>
      <x:c r="B83" s="20"/>
      <x:c r="C83" s="20"/>
      <x:c r="D83" s="20"/>
      <x:c r="E83" s="20"/>
      <x:c r="F83" s="20"/>
      <x:c r="G83" s="20"/>
      <x:c r="H83" s="20"/>
      <x:c r="I83" s="20"/>
      <x:c r="J83" s="20"/>
      <x:c r="K83" s="20"/>
      <x:c r="L83" s="20"/>
      <x:c r="M83" s="20"/>
      <x:c r="N83" s="20"/>
      <x:c r="O83" s="20"/>
      <x:c r="P83" s="20"/>
      <x:c r="Q83" s="20"/>
      <x:c r="R83" s="20"/>
      <x:c r="S83" s="20"/>
      <x:c r="T83" s="20"/>
      <x:c r="U83" s="20"/>
      <x:c r="V83" s="20"/>
      <x:c r="W83" s="20"/>
      <x:c r="X83" s="20"/>
      <x:c r="Y83" s="20"/>
      <x:c r="Z83" s="20"/>
    </x:row>
    <x:row r="84">
      <x:c r="A84" s="20"/>
      <x:c r="B84" s="20"/>
      <x:c r="C84" s="20"/>
      <x:c r="D84" s="20"/>
      <x:c r="E84" s="20"/>
      <x:c r="F84" s="20"/>
      <x:c r="G84" s="20"/>
      <x:c r="H84" s="20"/>
      <x:c r="I84" s="20"/>
      <x:c r="J84" s="20"/>
      <x:c r="K84" s="20"/>
      <x:c r="L84" s="20"/>
      <x:c r="M84" s="20"/>
      <x:c r="N84" s="20"/>
      <x:c r="O84" s="20"/>
      <x:c r="P84" s="20"/>
      <x:c r="Q84" s="20"/>
      <x:c r="R84" s="20"/>
      <x:c r="S84" s="20"/>
      <x:c r="T84" s="20"/>
      <x:c r="U84" s="20"/>
      <x:c r="V84" s="20"/>
      <x:c r="W84" s="20"/>
      <x:c r="X84" s="20"/>
      <x:c r="Y84" s="20"/>
      <x:c r="Z84" s="20"/>
    </x:row>
    <x:row r="85">
      <x:c r="A85" s="20"/>
      <x:c r="B85" s="20"/>
      <x:c r="C85" s="20"/>
      <x:c r="D85" s="20"/>
      <x:c r="E85" s="20"/>
      <x:c r="F85" s="20"/>
      <x:c r="G85" s="20"/>
      <x:c r="H85" s="20"/>
      <x:c r="I85" s="20"/>
      <x:c r="J85" s="20"/>
      <x:c r="K85" s="20"/>
      <x:c r="L85" s="20"/>
      <x:c r="M85" s="20"/>
      <x:c r="N85" s="20"/>
      <x:c r="O85" s="20"/>
      <x:c r="P85" s="20"/>
      <x:c r="Q85" s="20"/>
      <x:c r="R85" s="20"/>
      <x:c r="S85" s="20"/>
      <x:c r="T85" s="20"/>
      <x:c r="U85" s="20"/>
      <x:c r="V85" s="20"/>
      <x:c r="W85" s="20"/>
      <x:c r="X85" s="20"/>
      <x:c r="Y85" s="20"/>
      <x:c r="Z85" s="20"/>
    </x:row>
    <x:row r="86">
      <x:c r="A86" s="20"/>
      <x:c r="B86" s="20"/>
      <x:c r="C86" s="20"/>
      <x:c r="D86" s="20"/>
      <x:c r="E86" s="20"/>
      <x:c r="F86" s="20"/>
      <x:c r="G86" s="20"/>
      <x:c r="H86" s="20"/>
      <x:c r="I86" s="20"/>
      <x:c r="J86" s="20"/>
      <x:c r="K86" s="20"/>
      <x:c r="L86" s="20"/>
      <x:c r="M86" s="20"/>
      <x:c r="N86" s="20"/>
      <x:c r="O86" s="20"/>
      <x:c r="P86" s="20"/>
      <x:c r="Q86" s="20"/>
      <x:c r="R86" s="20"/>
      <x:c r="S86" s="20"/>
      <x:c r="T86" s="20"/>
      <x:c r="U86" s="20"/>
      <x:c r="V86" s="20"/>
      <x:c r="W86" s="20"/>
      <x:c r="X86" s="20"/>
      <x:c r="Y86" s="20"/>
      <x:c r="Z86" s="20"/>
    </x:row>
    <x:row r="87">
      <x:c r="A87" s="20"/>
      <x:c r="B87" s="20"/>
      <x:c r="C87" s="20"/>
      <x:c r="D87" s="20"/>
      <x:c r="E87" s="20"/>
      <x:c r="F87" s="20"/>
      <x:c r="G87" s="20"/>
      <x:c r="H87" s="20"/>
      <x:c r="I87" s="20"/>
      <x:c r="J87" s="20"/>
      <x:c r="K87" s="20"/>
      <x:c r="L87" s="20"/>
      <x:c r="M87" s="20"/>
      <x:c r="N87" s="20"/>
      <x:c r="O87" s="20"/>
      <x:c r="P87" s="20"/>
      <x:c r="Q87" s="20"/>
      <x:c r="R87" s="20"/>
      <x:c r="S87" s="20"/>
      <x:c r="T87" s="20"/>
      <x:c r="U87" s="20"/>
      <x:c r="V87" s="20"/>
      <x:c r="W87" s="20"/>
      <x:c r="X87" s="20"/>
      <x:c r="Y87" s="20"/>
      <x:c r="Z87" s="20"/>
    </x:row>
    <x:row r="88">
      <x:c r="A88" s="20"/>
      <x:c r="B88" s="20"/>
      <x:c r="C88" s="20"/>
      <x:c r="D88" s="20"/>
      <x:c r="E88" s="20"/>
      <x:c r="F88" s="20"/>
      <x:c r="G88" s="20"/>
      <x:c r="H88" s="20"/>
      <x:c r="I88" s="20"/>
      <x:c r="J88" s="20"/>
      <x:c r="K88" s="20"/>
      <x:c r="L88" s="20"/>
      <x:c r="M88" s="20"/>
      <x:c r="N88" s="20"/>
      <x:c r="O88" s="20"/>
      <x:c r="P88" s="20"/>
      <x:c r="Q88" s="20"/>
      <x:c r="R88" s="20"/>
      <x:c r="S88" s="20"/>
      <x:c r="T88" s="20"/>
      <x:c r="U88" s="20"/>
      <x:c r="V88" s="20"/>
      <x:c r="W88" s="20"/>
      <x:c r="X88" s="20"/>
      <x:c r="Y88" s="20"/>
      <x:c r="Z88" s="20"/>
    </x:row>
    <x:row r="89">
      <x:c r="A89" s="20"/>
      <x:c r="B89" s="20"/>
      <x:c r="C89" s="20"/>
      <x:c r="D89" s="20"/>
      <x:c r="E89" s="20"/>
      <x:c r="F89" s="20"/>
      <x:c r="G89" s="20"/>
      <x:c r="H89" s="20"/>
      <x:c r="I89" s="20"/>
      <x:c r="J89" s="20"/>
      <x:c r="K89" s="20"/>
      <x:c r="L89" s="20"/>
      <x:c r="M89" s="20"/>
      <x:c r="N89" s="20"/>
      <x:c r="O89" s="20"/>
      <x:c r="P89" s="20"/>
      <x:c r="Q89" s="20"/>
      <x:c r="R89" s="20"/>
      <x:c r="S89" s="20"/>
      <x:c r="T89" s="20"/>
      <x:c r="U89" s="20"/>
      <x:c r="V89" s="20"/>
      <x:c r="W89" s="20"/>
      <x:c r="X89" s="20"/>
      <x:c r="Y89" s="20"/>
      <x:c r="Z89" s="20"/>
    </x:row>
    <x:row r="90">
      <x:c r="A90" s="20"/>
      <x:c r="B90" s="20"/>
      <x:c r="C90" s="20"/>
      <x:c r="D90" s="20"/>
      <x:c r="E90" s="20"/>
      <x:c r="F90" s="20"/>
      <x:c r="G90" s="20"/>
      <x:c r="H90" s="20"/>
      <x:c r="I90" s="20"/>
      <x:c r="J90" s="20"/>
      <x:c r="K90" s="20"/>
      <x:c r="L90" s="20"/>
      <x:c r="M90" s="20"/>
      <x:c r="N90" s="20"/>
      <x:c r="O90" s="20"/>
      <x:c r="P90" s="20"/>
      <x:c r="Q90" s="20"/>
      <x:c r="R90" s="20"/>
      <x:c r="S90" s="20"/>
      <x:c r="T90" s="20"/>
      <x:c r="U90" s="20"/>
      <x:c r="V90" s="20"/>
      <x:c r="W90" s="20"/>
      <x:c r="X90" s="20"/>
      <x:c r="Y90" s="20"/>
      <x:c r="Z90" s="20"/>
    </x:row>
    <x:row r="91">
      <x:c r="A91" s="20"/>
      <x:c r="B91" s="20"/>
      <x:c r="C91" s="20"/>
      <x:c r="D91" s="20"/>
      <x:c r="E91" s="20"/>
      <x:c r="F91" s="20"/>
      <x:c r="G91" s="20"/>
      <x:c r="H91" s="20"/>
      <x:c r="I91" s="20"/>
      <x:c r="J91" s="20"/>
      <x:c r="K91" s="20"/>
      <x:c r="L91" s="20"/>
      <x:c r="M91" s="20"/>
      <x:c r="N91" s="20"/>
      <x:c r="O91" s="20"/>
      <x:c r="P91" s="20"/>
      <x:c r="Q91" s="20"/>
      <x:c r="R91" s="20"/>
      <x:c r="S91" s="20"/>
      <x:c r="T91" s="20"/>
      <x:c r="U91" s="20"/>
      <x:c r="V91" s="20"/>
      <x:c r="W91" s="20"/>
      <x:c r="X91" s="20"/>
      <x:c r="Y91" s="20"/>
      <x:c r="Z91" s="20"/>
    </x:row>
    <x:row r="92">
      <x:c r="A92" s="20"/>
      <x:c r="B92" s="20"/>
      <x:c r="C92" s="20"/>
      <x:c r="D92" s="20"/>
      <x:c r="E92" s="20"/>
      <x:c r="F92" s="20"/>
      <x:c r="G92" s="20"/>
      <x:c r="H92" s="20"/>
      <x:c r="I92" s="20"/>
      <x:c r="J92" s="20"/>
      <x:c r="K92" s="20"/>
      <x:c r="L92" s="20"/>
      <x:c r="M92" s="20"/>
      <x:c r="N92" s="20"/>
      <x:c r="O92" s="20"/>
      <x:c r="P92" s="20"/>
      <x:c r="Q92" s="20"/>
      <x:c r="R92" s="20"/>
      <x:c r="S92" s="20"/>
      <x:c r="T92" s="20"/>
      <x:c r="U92" s="20"/>
      <x:c r="V92" s="20"/>
      <x:c r="W92" s="20"/>
      <x:c r="X92" s="20"/>
      <x:c r="Y92" s="20"/>
      <x:c r="Z92" s="20"/>
    </x:row>
    <x:row r="93">
      <x:c r="A93" s="20"/>
      <x:c r="B93" s="20"/>
      <x:c r="C93" s="20"/>
      <x:c r="D93" s="20"/>
      <x:c r="E93" s="20"/>
      <x:c r="F93" s="20"/>
      <x:c r="G93" s="20"/>
      <x:c r="H93" s="20"/>
      <x:c r="I93" s="20"/>
      <x:c r="J93" s="20"/>
      <x:c r="K93" s="20"/>
      <x:c r="L93" s="20"/>
      <x:c r="M93" s="20"/>
      <x:c r="N93" s="20"/>
      <x:c r="O93" s="20"/>
      <x:c r="P93" s="20"/>
      <x:c r="Q93" s="20"/>
      <x:c r="R93" s="20"/>
      <x:c r="S93" s="20"/>
      <x:c r="T93" s="20"/>
      <x:c r="U93" s="20"/>
      <x:c r="V93" s="20"/>
      <x:c r="W93" s="20"/>
      <x:c r="X93" s="20"/>
      <x:c r="Y93" s="20"/>
      <x:c r="Z93" s="20"/>
    </x:row>
    <x:row r="94">
      <x:c r="A94" s="20"/>
      <x:c r="B94" s="20"/>
      <x:c r="C94" s="20"/>
      <x:c r="D94" s="20"/>
      <x:c r="E94" s="20"/>
      <x:c r="F94" s="20"/>
      <x:c r="G94" s="20"/>
      <x:c r="H94" s="20"/>
      <x:c r="I94" s="20"/>
      <x:c r="J94" s="20"/>
      <x:c r="K94" s="20"/>
      <x:c r="L94" s="20"/>
      <x:c r="M94" s="20"/>
      <x:c r="N94" s="20"/>
      <x:c r="O94" s="20"/>
      <x:c r="P94" s="20"/>
      <x:c r="Q94" s="20"/>
      <x:c r="R94" s="20"/>
      <x:c r="S94" s="20"/>
      <x:c r="T94" s="20"/>
      <x:c r="U94" s="20"/>
      <x:c r="V94" s="20"/>
      <x:c r="W94" s="20"/>
      <x:c r="X94" s="20"/>
      <x:c r="Y94" s="20"/>
      <x:c r="Z94" s="20"/>
    </x:row>
    <x:row r="95">
      <x:c r="A95" s="20"/>
      <x:c r="B95" s="20"/>
      <x:c r="C95" s="20"/>
      <x:c r="D95" s="20"/>
      <x:c r="E95" s="20"/>
      <x:c r="F95" s="20"/>
      <x:c r="G95" s="20"/>
      <x:c r="H95" s="20"/>
      <x:c r="I95" s="20"/>
      <x:c r="J95" s="20"/>
      <x:c r="K95" s="20"/>
      <x:c r="L95" s="20"/>
      <x:c r="M95" s="20"/>
      <x:c r="N95" s="20"/>
      <x:c r="O95" s="20"/>
      <x:c r="P95" s="20"/>
      <x:c r="Q95" s="20"/>
      <x:c r="R95" s="20"/>
      <x:c r="S95" s="20"/>
      <x:c r="T95" s="20"/>
      <x:c r="U95" s="20"/>
      <x:c r="V95" s="20"/>
      <x:c r="W95" s="20"/>
      <x:c r="X95" s="20"/>
      <x:c r="Y95" s="20"/>
      <x:c r="Z95" s="20"/>
    </x:row>
    <x:row r="96">
      <x:c r="A96" s="20"/>
      <x:c r="B96" s="20"/>
      <x:c r="C96" s="20"/>
      <x:c r="D96" s="20"/>
      <x:c r="E96" s="20"/>
      <x:c r="F96" s="20"/>
      <x:c r="G96" s="20"/>
      <x:c r="H96" s="20"/>
      <x:c r="I96" s="20"/>
      <x:c r="J96" s="20"/>
      <x:c r="K96" s="20"/>
      <x:c r="L96" s="20"/>
      <x:c r="M96" s="20"/>
      <x:c r="N96" s="20"/>
      <x:c r="O96" s="20"/>
      <x:c r="P96" s="20"/>
      <x:c r="Q96" s="20"/>
      <x:c r="R96" s="20"/>
      <x:c r="S96" s="20"/>
      <x:c r="T96" s="20"/>
      <x:c r="U96" s="20"/>
      <x:c r="V96" s="20"/>
      <x:c r="W96" s="20"/>
      <x:c r="X96" s="20"/>
      <x:c r="Y96" s="20"/>
      <x:c r="Z96" s="20"/>
    </x:row>
    <x:row r="97">
      <x:c r="A97" s="20"/>
      <x:c r="B97" s="20"/>
      <x:c r="C97" s="20"/>
      <x:c r="D97" s="20"/>
      <x:c r="E97" s="20"/>
      <x:c r="F97" s="20"/>
      <x:c r="G97" s="20"/>
      <x:c r="H97" s="20"/>
      <x:c r="I97" s="20"/>
      <x:c r="J97" s="20"/>
      <x:c r="K97" s="20"/>
      <x:c r="L97" s="20"/>
      <x:c r="M97" s="20"/>
      <x:c r="N97" s="20"/>
      <x:c r="O97" s="20"/>
      <x:c r="P97" s="20"/>
      <x:c r="Q97" s="20"/>
      <x:c r="R97" s="20"/>
      <x:c r="S97" s="20"/>
      <x:c r="T97" s="20"/>
      <x:c r="U97" s="20"/>
      <x:c r="V97" s="20"/>
      <x:c r="W97" s="20"/>
      <x:c r="X97" s="20"/>
      <x:c r="Y97" s="20"/>
      <x:c r="Z97" s="20"/>
    </x:row>
    <x:row r="98">
      <x:c r="A98" s="20"/>
      <x:c r="B98" s="20"/>
      <x:c r="C98" s="20"/>
      <x:c r="D98" s="20"/>
      <x:c r="E98" s="20"/>
      <x:c r="F98" s="20"/>
      <x:c r="G98" s="20"/>
      <x:c r="H98" s="20"/>
      <x:c r="I98" s="20"/>
      <x:c r="J98" s="20"/>
      <x:c r="K98" s="20"/>
      <x:c r="L98" s="20"/>
      <x:c r="M98" s="20"/>
      <x:c r="N98" s="20"/>
      <x:c r="O98" s="20"/>
      <x:c r="P98" s="20"/>
      <x:c r="Q98" s="20"/>
      <x:c r="R98" s="20"/>
      <x:c r="S98" s="20"/>
      <x:c r="T98" s="20"/>
      <x:c r="U98" s="20"/>
      <x:c r="V98" s="20"/>
      <x:c r="W98" s="20"/>
      <x:c r="X98" s="20"/>
      <x:c r="Y98" s="20"/>
      <x:c r="Z98" s="20"/>
    </x:row>
    <x:row r="99">
      <x:c r="A99" s="20"/>
      <x:c r="B99" s="20"/>
      <x:c r="C99" s="20"/>
      <x:c r="D99" s="20"/>
      <x:c r="E99" s="20"/>
      <x:c r="F99" s="20"/>
      <x:c r="G99" s="20"/>
      <x:c r="H99" s="20"/>
      <x:c r="I99" s="20"/>
      <x:c r="J99" s="20"/>
      <x:c r="K99" s="20"/>
      <x:c r="L99" s="20"/>
      <x:c r="M99" s="20"/>
      <x:c r="N99" s="20"/>
      <x:c r="O99" s="20"/>
      <x:c r="P99" s="20"/>
      <x:c r="Q99" s="20"/>
      <x:c r="R99" s="20"/>
      <x:c r="S99" s="20"/>
      <x:c r="T99" s="20"/>
      <x:c r="U99" s="20"/>
      <x:c r="V99" s="20"/>
      <x:c r="W99" s="20"/>
      <x:c r="X99" s="20"/>
      <x:c r="Y99" s="20"/>
      <x:c r="Z99" s="20"/>
    </x:row>
    <x:row r="100">
      <x:c r="A100" s="20"/>
      <x:c r="B100" s="20"/>
      <x:c r="C100" s="20"/>
      <x:c r="D100" s="20"/>
      <x:c r="E100" s="20"/>
      <x:c r="F100" s="20"/>
      <x:c r="G100" s="20"/>
      <x:c r="H100" s="20"/>
      <x:c r="I100" s="20"/>
      <x:c r="J100" s="20"/>
      <x:c r="K100" s="20"/>
      <x:c r="L100" s="20"/>
      <x:c r="M100" s="20"/>
      <x:c r="N100" s="20"/>
      <x:c r="O100" s="20"/>
      <x:c r="P100" s="20"/>
      <x:c r="Q100" s="20"/>
      <x:c r="R100" s="20"/>
      <x:c r="S100" s="20"/>
      <x:c r="T100" s="20"/>
      <x:c r="U100" s="20"/>
      <x:c r="V100" s="20"/>
      <x:c r="W100" s="20"/>
      <x:c r="X100" s="20"/>
      <x:c r="Y100" s="20"/>
      <x:c r="Z100" s="20"/>
    </x:row>
    <x:row r="101">
      <x:c r="A101" s="20"/>
      <x:c r="B101" s="20"/>
      <x:c r="C101" s="20"/>
      <x:c r="D101" s="20"/>
      <x:c r="E101" s="20"/>
      <x:c r="F101" s="20"/>
      <x:c r="G101" s="20"/>
      <x:c r="H101" s="20"/>
      <x:c r="I101" s="20"/>
      <x:c r="J101" s="20"/>
      <x:c r="K101" s="20"/>
      <x:c r="L101" s="20"/>
      <x:c r="M101" s="20"/>
      <x:c r="N101" s="20"/>
      <x:c r="O101" s="20"/>
      <x:c r="P101" s="20"/>
      <x:c r="Q101" s="20"/>
      <x:c r="R101" s="20"/>
      <x:c r="S101" s="20"/>
      <x:c r="T101" s="20"/>
      <x:c r="U101" s="20"/>
      <x:c r="V101" s="20"/>
      <x:c r="W101" s="20"/>
      <x:c r="X101" s="20"/>
      <x:c r="Y101" s="20"/>
      <x:c r="Z101" s="20"/>
    </x:row>
    <x:row r="102">
      <x:c r="A102" s="20"/>
      <x:c r="B102" s="20"/>
      <x:c r="C102" s="20"/>
      <x:c r="D102" s="20"/>
      <x:c r="E102" s="20"/>
      <x:c r="F102" s="20"/>
      <x:c r="G102" s="20"/>
      <x:c r="H102" s="20"/>
      <x:c r="I102" s="20"/>
      <x:c r="J102" s="20"/>
      <x:c r="K102" s="20"/>
      <x:c r="L102" s="20"/>
      <x:c r="M102" s="20"/>
      <x:c r="N102" s="20"/>
      <x:c r="O102" s="20"/>
      <x:c r="P102" s="20"/>
      <x:c r="Q102" s="20"/>
      <x:c r="R102" s="20"/>
      <x:c r="S102" s="20"/>
      <x:c r="T102" s="20"/>
      <x:c r="U102" s="20"/>
      <x:c r="V102" s="20"/>
      <x:c r="W102" s="20"/>
      <x:c r="X102" s="20"/>
      <x:c r="Y102" s="20"/>
      <x:c r="Z102" s="20"/>
    </x:row>
    <x:row r="103">
      <x:c r="A103" s="20"/>
      <x:c r="B103" s="20"/>
      <x:c r="C103" s="20"/>
      <x:c r="D103" s="20"/>
      <x:c r="E103" s="20"/>
      <x:c r="F103" s="20"/>
      <x:c r="G103" s="20"/>
      <x:c r="H103" s="20"/>
      <x:c r="I103" s="20"/>
      <x:c r="J103" s="20"/>
      <x:c r="K103" s="20"/>
      <x:c r="L103" s="20"/>
      <x:c r="M103" s="20"/>
      <x:c r="N103" s="20"/>
      <x:c r="O103" s="20"/>
      <x:c r="P103" s="20"/>
      <x:c r="Q103" s="20"/>
      <x:c r="R103" s="20"/>
      <x:c r="S103" s="20"/>
      <x:c r="T103" s="20"/>
      <x:c r="U103" s="20"/>
      <x:c r="V103" s="20"/>
      <x:c r="W103" s="20"/>
      <x:c r="X103" s="20"/>
      <x:c r="Y103" s="20"/>
      <x:c r="Z103" s="20"/>
    </x:row>
    <x:row r="104">
      <x:c r="A104" s="20"/>
      <x:c r="B104" s="20"/>
      <x:c r="C104" s="20"/>
      <x:c r="D104" s="20"/>
      <x:c r="E104" s="20"/>
      <x:c r="F104" s="20"/>
      <x:c r="G104" s="20"/>
      <x:c r="H104" s="20"/>
      <x:c r="I104" s="20"/>
      <x:c r="J104" s="20"/>
      <x:c r="K104" s="20"/>
      <x:c r="L104" s="20"/>
      <x:c r="M104" s="20"/>
      <x:c r="N104" s="20"/>
      <x:c r="O104" s="20"/>
      <x:c r="P104" s="20"/>
      <x:c r="Q104" s="20"/>
      <x:c r="R104" s="20"/>
      <x:c r="S104" s="20"/>
      <x:c r="T104" s="20"/>
      <x:c r="U104" s="20"/>
      <x:c r="V104" s="20"/>
      <x:c r="W104" s="20"/>
      <x:c r="X104" s="20"/>
      <x:c r="Y104" s="20"/>
      <x:c r="Z104" s="20"/>
    </x:row>
    <x:row r="105">
      <x:c r="A105" s="20"/>
      <x:c r="B105" s="20"/>
      <x:c r="C105" s="20"/>
      <x:c r="D105" s="20"/>
      <x:c r="E105" s="20"/>
      <x:c r="F105" s="20"/>
      <x:c r="G105" s="20"/>
      <x:c r="H105" s="20"/>
      <x:c r="I105" s="20"/>
      <x:c r="J105" s="20"/>
      <x:c r="K105" s="20"/>
      <x:c r="L105" s="20"/>
      <x:c r="M105" s="20"/>
      <x:c r="N105" s="20"/>
      <x:c r="O105" s="20"/>
      <x:c r="P105" s="20"/>
      <x:c r="Q105" s="20"/>
      <x:c r="R105" s="20"/>
      <x:c r="S105" s="20"/>
      <x:c r="T105" s="20"/>
      <x:c r="U105" s="20"/>
      <x:c r="V105" s="20"/>
      <x:c r="W105" s="20"/>
      <x:c r="X105" s="20"/>
      <x:c r="Y105" s="20"/>
      <x:c r="Z105" s="20"/>
    </x:row>
    <x:row r="106">
      <x:c r="A106" s="20"/>
      <x:c r="B106" s="20"/>
      <x:c r="C106" s="20"/>
      <x:c r="D106" s="20"/>
      <x:c r="E106" s="20"/>
      <x:c r="F106" s="20"/>
      <x:c r="G106" s="20"/>
      <x:c r="H106" s="20"/>
      <x:c r="I106" s="20"/>
      <x:c r="J106" s="20"/>
      <x:c r="K106" s="20"/>
      <x:c r="L106" s="20"/>
      <x:c r="M106" s="20"/>
      <x:c r="N106" s="20"/>
      <x:c r="O106" s="20"/>
      <x:c r="P106" s="20"/>
      <x:c r="Q106" s="20"/>
      <x:c r="R106" s="20"/>
      <x:c r="S106" s="20"/>
      <x:c r="T106" s="20"/>
      <x:c r="U106" s="20"/>
      <x:c r="V106" s="20"/>
      <x:c r="W106" s="20"/>
      <x:c r="X106" s="20"/>
      <x:c r="Y106" s="20"/>
      <x:c r="Z106" s="20"/>
    </x:row>
    <x:row r="107">
      <x:c r="A107" s="20"/>
      <x:c r="B107" s="20"/>
      <x:c r="C107" s="20"/>
      <x:c r="D107" s="20"/>
      <x:c r="E107" s="20"/>
      <x:c r="F107" s="20"/>
      <x:c r="G107" s="20"/>
      <x:c r="H107" s="20"/>
      <x:c r="I107" s="20"/>
      <x:c r="J107" s="20"/>
      <x:c r="K107" s="20"/>
      <x:c r="L107" s="20"/>
      <x:c r="M107" s="20"/>
      <x:c r="N107" s="20"/>
      <x:c r="O107" s="20"/>
      <x:c r="P107" s="20"/>
      <x:c r="Q107" s="20"/>
      <x:c r="R107" s="20"/>
      <x:c r="S107" s="20"/>
      <x:c r="T107" s="20"/>
      <x:c r="U107" s="20"/>
      <x:c r="V107" s="20"/>
      <x:c r="W107" s="20"/>
      <x:c r="X107" s="20"/>
      <x:c r="Y107" s="20"/>
      <x:c r="Z107" s="20"/>
    </x:row>
    <x:row r="108">
      <x:c r="A108" s="20"/>
      <x:c r="B108" s="20"/>
      <x:c r="C108" s="20"/>
      <x:c r="D108" s="20"/>
      <x:c r="E108" s="20"/>
      <x:c r="F108" s="20"/>
      <x:c r="G108" s="20"/>
      <x:c r="H108" s="20"/>
      <x:c r="I108" s="20"/>
      <x:c r="J108" s="20"/>
      <x:c r="K108" s="20"/>
      <x:c r="L108" s="20"/>
      <x:c r="M108" s="20"/>
      <x:c r="N108" s="20"/>
      <x:c r="O108" s="20"/>
      <x:c r="P108" s="20"/>
      <x:c r="Q108" s="20"/>
      <x:c r="R108" s="20"/>
      <x:c r="S108" s="20"/>
      <x:c r="T108" s="20"/>
      <x:c r="U108" s="20"/>
      <x:c r="V108" s="20"/>
      <x:c r="W108" s="20"/>
      <x:c r="X108" s="20"/>
      <x:c r="Y108" s="20"/>
      <x:c r="Z108" s="20"/>
    </x:row>
    <x:row r="109">
      <x:c r="A109" s="20"/>
      <x:c r="B109" s="20"/>
      <x:c r="C109" s="20"/>
      <x:c r="D109" s="20"/>
      <x:c r="E109" s="20"/>
      <x:c r="F109" s="20"/>
      <x:c r="G109" s="20"/>
      <x:c r="H109" s="20"/>
      <x:c r="I109" s="20"/>
      <x:c r="J109" s="20"/>
      <x:c r="K109" s="20"/>
      <x:c r="L109" s="20"/>
      <x:c r="M109" s="20"/>
      <x:c r="N109" s="20"/>
      <x:c r="O109" s="20"/>
      <x:c r="P109" s="20"/>
      <x:c r="Q109" s="20"/>
      <x:c r="R109" s="20"/>
      <x:c r="S109" s="20"/>
      <x:c r="T109" s="20"/>
      <x:c r="U109" s="20"/>
      <x:c r="V109" s="20"/>
      <x:c r="W109" s="20"/>
      <x:c r="X109" s="20"/>
      <x:c r="Y109" s="20"/>
      <x:c r="Z109" s="20"/>
    </x:row>
    <x:row r="110">
      <x:c r="A110" s="20"/>
      <x:c r="B110" s="20"/>
      <x:c r="C110" s="20"/>
      <x:c r="D110" s="20"/>
      <x:c r="E110" s="20"/>
      <x:c r="F110" s="20"/>
      <x:c r="G110" s="20"/>
      <x:c r="H110" s="20"/>
      <x:c r="I110" s="20"/>
      <x:c r="J110" s="20"/>
      <x:c r="K110" s="20"/>
      <x:c r="L110" s="20"/>
      <x:c r="M110" s="20"/>
      <x:c r="N110" s="20"/>
      <x:c r="O110" s="20"/>
      <x:c r="P110" s="20"/>
      <x:c r="Q110" s="20"/>
      <x:c r="R110" s="20"/>
      <x:c r="S110" s="20"/>
      <x:c r="T110" s="20"/>
      <x:c r="U110" s="20"/>
      <x:c r="V110" s="20"/>
      <x:c r="W110" s="20"/>
      <x:c r="X110" s="20"/>
      <x:c r="Y110" s="20"/>
      <x:c r="Z110" s="20"/>
    </x:row>
    <x:row r="111">
      <x:c r="A111" s="20"/>
      <x:c r="B111" s="20"/>
      <x:c r="C111" s="20"/>
      <x:c r="D111" s="20"/>
      <x:c r="E111" s="20"/>
      <x:c r="F111" s="20"/>
      <x:c r="G111" s="20"/>
      <x:c r="H111" s="20"/>
      <x:c r="I111" s="20"/>
      <x:c r="J111" s="20"/>
      <x:c r="K111" s="20"/>
      <x:c r="L111" s="20"/>
      <x:c r="M111" s="20"/>
      <x:c r="N111" s="20"/>
      <x:c r="O111" s="20"/>
      <x:c r="P111" s="20"/>
      <x:c r="Q111" s="20"/>
      <x:c r="R111" s="20"/>
      <x:c r="S111" s="20"/>
      <x:c r="T111" s="20"/>
      <x:c r="U111" s="20"/>
      <x:c r="V111" s="20"/>
      <x:c r="W111" s="20"/>
      <x:c r="X111" s="20"/>
      <x:c r="Y111" s="20"/>
      <x:c r="Z111" s="20"/>
    </x:row>
    <x:row r="112">
      <x:c r="A112" s="20"/>
      <x:c r="B112" s="20"/>
      <x:c r="C112" s="20"/>
      <x:c r="D112" s="20"/>
      <x:c r="E112" s="20"/>
      <x:c r="F112" s="20"/>
      <x:c r="G112" s="20"/>
      <x:c r="H112" s="20"/>
      <x:c r="I112" s="20"/>
      <x:c r="J112" s="20"/>
      <x:c r="K112" s="20"/>
      <x:c r="L112" s="20"/>
      <x:c r="M112" s="20"/>
      <x:c r="N112" s="20"/>
      <x:c r="O112" s="20"/>
      <x:c r="P112" s="20"/>
      <x:c r="Q112" s="20"/>
      <x:c r="R112" s="20"/>
      <x:c r="S112" s="20"/>
      <x:c r="T112" s="20"/>
      <x:c r="U112" s="20"/>
      <x:c r="V112" s="20"/>
      <x:c r="W112" s="20"/>
      <x:c r="X112" s="20"/>
      <x:c r="Y112" s="20"/>
      <x:c r="Z112" s="20"/>
    </x:row>
    <x:row r="113">
      <x:c r="A113" s="20"/>
      <x:c r="B113" s="20"/>
      <x:c r="C113" s="20"/>
      <x:c r="D113" s="20"/>
      <x:c r="E113" s="20"/>
      <x:c r="F113" s="20"/>
      <x:c r="G113" s="20"/>
      <x:c r="H113" s="20"/>
      <x:c r="I113" s="20"/>
      <x:c r="J113" s="20"/>
      <x:c r="K113" s="20"/>
      <x:c r="L113" s="20"/>
      <x:c r="M113" s="20"/>
      <x:c r="N113" s="20"/>
      <x:c r="O113" s="20"/>
      <x:c r="P113" s="20"/>
      <x:c r="Q113" s="20"/>
      <x:c r="R113" s="20"/>
      <x:c r="S113" s="20"/>
      <x:c r="T113" s="20"/>
      <x:c r="U113" s="20"/>
      <x:c r="V113" s="20"/>
      <x:c r="W113" s="20"/>
      <x:c r="X113" s="20"/>
      <x:c r="Y113" s="20"/>
      <x:c r="Z113" s="20"/>
    </x:row>
    <x:row r="114">
      <x:c r="A114" s="20"/>
      <x:c r="B114" s="20"/>
      <x:c r="C114" s="20"/>
      <x:c r="D114" s="20"/>
      <x:c r="E114" s="20"/>
      <x:c r="F114" s="20"/>
      <x:c r="G114" s="20"/>
      <x:c r="H114" s="20"/>
      <x:c r="I114" s="20"/>
      <x:c r="J114" s="20"/>
      <x:c r="K114" s="20"/>
      <x:c r="L114" s="20"/>
      <x:c r="M114" s="20"/>
      <x:c r="N114" s="20"/>
      <x:c r="O114" s="20"/>
      <x:c r="P114" s="20"/>
      <x:c r="Q114" s="20"/>
      <x:c r="R114" s="20"/>
      <x:c r="S114" s="20"/>
      <x:c r="T114" s="20"/>
      <x:c r="U114" s="20"/>
      <x:c r="V114" s="20"/>
      <x:c r="W114" s="20"/>
      <x:c r="X114" s="20"/>
      <x:c r="Y114" s="20"/>
      <x:c r="Z114" s="20"/>
    </x:row>
    <x:row r="115">
      <x:c r="A115" s="20"/>
      <x:c r="B115" s="20"/>
      <x:c r="C115" s="20"/>
      <x:c r="D115" s="20"/>
      <x:c r="E115" s="20"/>
      <x:c r="F115" s="20"/>
      <x:c r="G115" s="20"/>
      <x:c r="H115" s="20"/>
      <x:c r="I115" s="20"/>
      <x:c r="J115" s="20"/>
      <x:c r="K115" s="20"/>
      <x:c r="L115" s="20"/>
      <x:c r="M115" s="20"/>
      <x:c r="N115" s="20"/>
      <x:c r="O115" s="20"/>
      <x:c r="P115" s="20"/>
      <x:c r="Q115" s="20"/>
      <x:c r="R115" s="20"/>
      <x:c r="S115" s="20"/>
      <x:c r="T115" s="20"/>
      <x:c r="U115" s="20"/>
      <x:c r="V115" s="20"/>
      <x:c r="W115" s="20"/>
      <x:c r="X115" s="20"/>
      <x:c r="Y115" s="20"/>
      <x:c r="Z115" s="20"/>
    </x:row>
    <x:row r="116">
      <x:c r="A116" s="20"/>
      <x:c r="B116" s="20"/>
      <x:c r="C116" s="20"/>
      <x:c r="D116" s="20"/>
      <x:c r="E116" s="20"/>
      <x:c r="F116" s="20"/>
      <x:c r="G116" s="20"/>
      <x:c r="H116" s="20"/>
      <x:c r="I116" s="20"/>
      <x:c r="J116" s="20"/>
      <x:c r="K116" s="20"/>
      <x:c r="L116" s="20"/>
      <x:c r="M116" s="20"/>
      <x:c r="N116" s="20"/>
      <x:c r="O116" s="20"/>
      <x:c r="P116" s="20"/>
      <x:c r="Q116" s="20"/>
      <x:c r="R116" s="20"/>
      <x:c r="S116" s="20"/>
      <x:c r="T116" s="20"/>
      <x:c r="U116" s="20"/>
      <x:c r="V116" s="20"/>
      <x:c r="W116" s="20"/>
      <x:c r="X116" s="20"/>
      <x:c r="Y116" s="20"/>
      <x:c r="Z116" s="20"/>
    </x:row>
    <x:row r="117">
      <x:c r="A117" s="20"/>
      <x:c r="B117" s="20"/>
      <x:c r="C117" s="20"/>
      <x:c r="D117" s="20"/>
      <x:c r="E117" s="20"/>
      <x:c r="F117" s="20"/>
      <x:c r="G117" s="20"/>
      <x:c r="H117" s="20"/>
      <x:c r="I117" s="20"/>
      <x:c r="J117" s="20"/>
      <x:c r="K117" s="20"/>
      <x:c r="L117" s="20"/>
      <x:c r="M117" s="20"/>
      <x:c r="N117" s="20"/>
      <x:c r="O117" s="20"/>
      <x:c r="P117" s="20"/>
      <x:c r="Q117" s="20"/>
      <x:c r="R117" s="20"/>
      <x:c r="S117" s="20"/>
      <x:c r="T117" s="20"/>
      <x:c r="U117" s="20"/>
      <x:c r="V117" s="20"/>
      <x:c r="W117" s="20"/>
      <x:c r="X117" s="20"/>
      <x:c r="Y117" s="20"/>
      <x:c r="Z117" s="20"/>
    </x:row>
    <x:row r="118">
      <x:c r="A118" s="20"/>
      <x:c r="B118" s="20"/>
      <x:c r="C118" s="20"/>
      <x:c r="D118" s="20"/>
      <x:c r="E118" s="20"/>
      <x:c r="F118" s="20"/>
      <x:c r="G118" s="20"/>
      <x:c r="H118" s="20"/>
      <x:c r="I118" s="20"/>
      <x:c r="J118" s="20"/>
      <x:c r="K118" s="20"/>
      <x:c r="L118" s="20"/>
      <x:c r="M118" s="20"/>
      <x:c r="N118" s="20"/>
      <x:c r="O118" s="20"/>
      <x:c r="P118" s="20"/>
      <x:c r="Q118" s="20"/>
      <x:c r="R118" s="20"/>
      <x:c r="S118" s="20"/>
      <x:c r="T118" s="20"/>
      <x:c r="U118" s="20"/>
      <x:c r="V118" s="20"/>
      <x:c r="W118" s="20"/>
      <x:c r="X118" s="20"/>
      <x:c r="Y118" s="20"/>
      <x:c r="Z118" s="20"/>
    </x:row>
    <x:row r="119">
      <x:c r="A119" s="20"/>
      <x:c r="B119" s="20"/>
      <x:c r="C119" s="20"/>
      <x:c r="D119" s="20"/>
      <x:c r="E119" s="20"/>
      <x:c r="F119" s="20"/>
      <x:c r="G119" s="20"/>
      <x:c r="H119" s="20"/>
      <x:c r="I119" s="20"/>
      <x:c r="J119" s="20"/>
      <x:c r="K119" s="20"/>
      <x:c r="L119" s="20"/>
      <x:c r="M119" s="20"/>
      <x:c r="N119" s="20"/>
      <x:c r="O119" s="20"/>
      <x:c r="P119" s="20"/>
      <x:c r="Q119" s="20"/>
      <x:c r="R119" s="20"/>
      <x:c r="S119" s="20"/>
      <x:c r="T119" s="20"/>
      <x:c r="U119" s="20"/>
      <x:c r="V119" s="20"/>
      <x:c r="W119" s="20"/>
      <x:c r="X119" s="20"/>
      <x:c r="Y119" s="20"/>
      <x:c r="Z119" s="20"/>
    </x:row>
    <x:row r="120">
      <x:c r="A120" s="20"/>
      <x:c r="B120" s="20"/>
      <x:c r="C120" s="20"/>
      <x:c r="D120" s="20"/>
      <x:c r="E120" s="20"/>
      <x:c r="F120" s="20"/>
      <x:c r="G120" s="20"/>
      <x:c r="H120" s="20"/>
      <x:c r="I120" s="20"/>
      <x:c r="J120" s="20"/>
      <x:c r="K120" s="20"/>
      <x:c r="L120" s="20"/>
      <x:c r="M120" s="20"/>
      <x:c r="N120" s="20"/>
      <x:c r="O120" s="20"/>
      <x:c r="P120" s="20"/>
      <x:c r="Q120" s="20"/>
      <x:c r="R120" s="20"/>
      <x:c r="S120" s="20"/>
      <x:c r="T120" s="20"/>
      <x:c r="U120" s="20"/>
      <x:c r="V120" s="20"/>
      <x:c r="W120" s="20"/>
      <x:c r="X120" s="20"/>
      <x:c r="Y120" s="20"/>
      <x:c r="Z120" s="20"/>
    </x:row>
    <x:row r="121">
      <x:c r="A121" s="20"/>
      <x:c r="B121" s="20"/>
      <x:c r="C121" s="20"/>
      <x:c r="D121" s="20"/>
      <x:c r="E121" s="20"/>
      <x:c r="F121" s="20"/>
      <x:c r="G121" s="20"/>
      <x:c r="H121" s="20"/>
      <x:c r="I121" s="20"/>
      <x:c r="J121" s="20"/>
      <x:c r="K121" s="20"/>
      <x:c r="L121" s="20"/>
      <x:c r="M121" s="20"/>
      <x:c r="N121" s="20"/>
      <x:c r="O121" s="20"/>
      <x:c r="P121" s="20"/>
      <x:c r="Q121" s="20"/>
      <x:c r="R121" s="20"/>
      <x:c r="S121" s="20"/>
      <x:c r="T121" s="20"/>
      <x:c r="U121" s="20"/>
      <x:c r="V121" s="20"/>
      <x:c r="W121" s="20"/>
      <x:c r="X121" s="20"/>
      <x:c r="Y121" s="20"/>
      <x:c r="Z121" s="20"/>
    </x:row>
    <x:row r="122">
      <x:c r="A122" s="20"/>
      <x:c r="B122" s="20"/>
      <x:c r="C122" s="20"/>
      <x:c r="D122" s="20"/>
      <x:c r="E122" s="20"/>
      <x:c r="F122" s="20"/>
      <x:c r="G122" s="20"/>
      <x:c r="H122" s="20"/>
      <x:c r="I122" s="20"/>
      <x:c r="J122" s="20"/>
      <x:c r="K122" s="20"/>
      <x:c r="L122" s="20"/>
      <x:c r="M122" s="20"/>
      <x:c r="N122" s="20"/>
      <x:c r="O122" s="20"/>
      <x:c r="P122" s="20"/>
      <x:c r="Q122" s="20"/>
      <x:c r="R122" s="20"/>
      <x:c r="S122" s="20"/>
      <x:c r="T122" s="20"/>
      <x:c r="U122" s="20"/>
      <x:c r="V122" s="20"/>
      <x:c r="W122" s="20"/>
      <x:c r="X122" s="20"/>
      <x:c r="Y122" s="20"/>
      <x:c r="Z122" s="20"/>
    </x:row>
    <x:row r="123">
      <x:c r="A123" s="20"/>
      <x:c r="B123" s="20"/>
      <x:c r="C123" s="20"/>
      <x:c r="D123" s="20"/>
      <x:c r="E123" s="20"/>
      <x:c r="F123" s="20"/>
      <x:c r="G123" s="20"/>
      <x:c r="H123" s="20"/>
      <x:c r="I123" s="20"/>
      <x:c r="J123" s="20"/>
      <x:c r="K123" s="20"/>
      <x:c r="L123" s="20"/>
      <x:c r="M123" s="20"/>
      <x:c r="N123" s="20"/>
      <x:c r="O123" s="20"/>
      <x:c r="P123" s="20"/>
      <x:c r="Q123" s="20"/>
      <x:c r="R123" s="20"/>
      <x:c r="S123" s="20"/>
      <x:c r="T123" s="20"/>
      <x:c r="U123" s="20"/>
      <x:c r="V123" s="20"/>
      <x:c r="W123" s="20"/>
      <x:c r="X123" s="20"/>
      <x:c r="Y123" s="20"/>
      <x:c r="Z123" s="20"/>
    </x:row>
    <x:row r="124">
      <x:c r="A124" s="20"/>
      <x:c r="B124" s="20"/>
      <x:c r="C124" s="20"/>
      <x:c r="D124" s="20"/>
      <x:c r="E124" s="20"/>
      <x:c r="F124" s="20"/>
      <x:c r="G124" s="20"/>
      <x:c r="H124" s="20"/>
      <x:c r="I124" s="20"/>
      <x:c r="J124" s="20"/>
      <x:c r="K124" s="20"/>
      <x:c r="L124" s="20"/>
      <x:c r="M124" s="20"/>
      <x:c r="N124" s="20"/>
      <x:c r="O124" s="20"/>
      <x:c r="P124" s="20"/>
      <x:c r="Q124" s="20"/>
      <x:c r="R124" s="20"/>
      <x:c r="S124" s="20"/>
      <x:c r="T124" s="20"/>
      <x:c r="U124" s="20"/>
      <x:c r="V124" s="20"/>
      <x:c r="W124" s="20"/>
      <x:c r="X124" s="20"/>
      <x:c r="Y124" s="20"/>
      <x:c r="Z124" s="20"/>
    </x:row>
    <x:row r="125">
      <x:c r="A125" s="20"/>
      <x:c r="B125" s="20"/>
      <x:c r="C125" s="20"/>
      <x:c r="D125" s="20"/>
      <x:c r="E125" s="20"/>
      <x:c r="F125" s="20"/>
      <x:c r="G125" s="20"/>
      <x:c r="H125" s="20"/>
      <x:c r="I125" s="20"/>
      <x:c r="J125" s="20"/>
      <x:c r="K125" s="20"/>
      <x:c r="L125" s="20"/>
      <x:c r="M125" s="20"/>
      <x:c r="N125" s="20"/>
      <x:c r="O125" s="20"/>
      <x:c r="P125" s="20"/>
      <x:c r="Q125" s="20"/>
      <x:c r="R125" s="20"/>
      <x:c r="S125" s="20"/>
      <x:c r="T125" s="20"/>
      <x:c r="U125" s="20"/>
      <x:c r="V125" s="20"/>
      <x:c r="W125" s="20"/>
      <x:c r="X125" s="20"/>
      <x:c r="Y125" s="20"/>
      <x:c r="Z125" s="20"/>
    </x:row>
    <x:row r="126">
      <x:c r="A126" s="20"/>
      <x:c r="B126" s="20"/>
      <x:c r="C126" s="20"/>
      <x:c r="D126" s="20"/>
      <x:c r="E126" s="20"/>
      <x:c r="F126" s="20"/>
      <x:c r="G126" s="20"/>
      <x:c r="H126" s="20"/>
      <x:c r="I126" s="20"/>
      <x:c r="J126" s="20"/>
      <x:c r="K126" s="20"/>
      <x:c r="L126" s="20"/>
      <x:c r="M126" s="20"/>
      <x:c r="N126" s="20"/>
      <x:c r="O126" s="20"/>
      <x:c r="P126" s="20"/>
      <x:c r="Q126" s="20"/>
      <x:c r="R126" s="20"/>
      <x:c r="S126" s="20"/>
      <x:c r="T126" s="20"/>
      <x:c r="U126" s="20"/>
      <x:c r="V126" s="20"/>
      <x:c r="W126" s="20"/>
      <x:c r="X126" s="20"/>
      <x:c r="Y126" s="20"/>
      <x:c r="Z126" s="20"/>
    </x:row>
    <x:row r="127">
      <x:c r="A127" s="20"/>
      <x:c r="B127" s="20"/>
      <x:c r="C127" s="20"/>
      <x:c r="D127" s="20"/>
      <x:c r="E127" s="20"/>
      <x:c r="F127" s="20"/>
      <x:c r="G127" s="20"/>
      <x:c r="H127" s="20"/>
      <x:c r="I127" s="20"/>
      <x:c r="J127" s="20"/>
      <x:c r="K127" s="20"/>
      <x:c r="L127" s="20"/>
      <x:c r="M127" s="20"/>
      <x:c r="N127" s="20"/>
      <x:c r="O127" s="20"/>
      <x:c r="P127" s="20"/>
      <x:c r="Q127" s="20"/>
      <x:c r="R127" s="20"/>
      <x:c r="S127" s="20"/>
      <x:c r="T127" s="20"/>
      <x:c r="U127" s="20"/>
      <x:c r="V127" s="20"/>
      <x:c r="W127" s="20"/>
      <x:c r="X127" s="20"/>
      <x:c r="Y127" s="20"/>
      <x:c r="Z127" s="20"/>
    </x:row>
    <x:row r="128">
      <x:c r="A128" s="20"/>
      <x:c r="B128" s="20"/>
      <x:c r="C128" s="20"/>
      <x:c r="D128" s="20"/>
      <x:c r="E128" s="20"/>
      <x:c r="F128" s="20"/>
      <x:c r="G128" s="20"/>
      <x:c r="H128" s="20"/>
      <x:c r="I128" s="20"/>
      <x:c r="J128" s="20"/>
      <x:c r="K128" s="20"/>
      <x:c r="L128" s="20"/>
      <x:c r="M128" s="20"/>
      <x:c r="N128" s="20"/>
      <x:c r="O128" s="20"/>
      <x:c r="P128" s="20"/>
      <x:c r="Q128" s="20"/>
      <x:c r="R128" s="20"/>
      <x:c r="S128" s="20"/>
      <x:c r="T128" s="20"/>
      <x:c r="U128" s="20"/>
      <x:c r="V128" s="20"/>
      <x:c r="W128" s="20"/>
      <x:c r="X128" s="20"/>
      <x:c r="Y128" s="20"/>
      <x:c r="Z128" s="20"/>
    </x:row>
    <x:row r="129">
      <x:c r="A129" s="20"/>
      <x:c r="B129" s="20"/>
      <x:c r="C129" s="20"/>
      <x:c r="D129" s="20"/>
      <x:c r="E129" s="20"/>
      <x:c r="F129" s="20"/>
      <x:c r="G129" s="20"/>
      <x:c r="H129" s="20"/>
      <x:c r="I129" s="20"/>
      <x:c r="J129" s="20"/>
      <x:c r="K129" s="20"/>
      <x:c r="L129" s="20"/>
      <x:c r="M129" s="20"/>
      <x:c r="N129" s="20"/>
      <x:c r="O129" s="20"/>
      <x:c r="P129" s="20"/>
      <x:c r="Q129" s="20"/>
      <x:c r="R129" s="20"/>
      <x:c r="S129" s="20"/>
      <x:c r="T129" s="20"/>
      <x:c r="U129" s="20"/>
      <x:c r="V129" s="20"/>
      <x:c r="W129" s="20"/>
      <x:c r="X129" s="20"/>
      <x:c r="Y129" s="20"/>
      <x:c r="Z129" s="20"/>
    </x:row>
    <x:row r="130">
      <x:c r="A130" s="20"/>
      <x:c r="B130" s="20"/>
      <x:c r="C130" s="20"/>
      <x:c r="D130" s="20"/>
      <x:c r="E130" s="20"/>
      <x:c r="F130" s="20"/>
      <x:c r="G130" s="20"/>
      <x:c r="H130" s="20"/>
      <x:c r="I130" s="20"/>
      <x:c r="J130" s="20"/>
      <x:c r="K130" s="20"/>
      <x:c r="L130" s="20"/>
      <x:c r="M130" s="20"/>
      <x:c r="N130" s="20"/>
      <x:c r="O130" s="20"/>
      <x:c r="P130" s="20"/>
      <x:c r="Q130" s="20"/>
      <x:c r="R130" s="20"/>
      <x:c r="S130" s="20"/>
      <x:c r="T130" s="20"/>
      <x:c r="U130" s="20"/>
      <x:c r="V130" s="20"/>
      <x:c r="W130" s="20"/>
      <x:c r="X130" s="20"/>
      <x:c r="Y130" s="20"/>
      <x:c r="Z130" s="20"/>
    </x:row>
    <x:row r="131">
      <x:c r="A131" s="20"/>
      <x:c r="B131" s="20"/>
      <x:c r="C131" s="20"/>
      <x:c r="D131" s="20"/>
      <x:c r="E131" s="20"/>
      <x:c r="F131" s="20"/>
      <x:c r="G131" s="20"/>
      <x:c r="H131" s="20"/>
      <x:c r="I131" s="20"/>
      <x:c r="J131" s="20"/>
      <x:c r="K131" s="20"/>
      <x:c r="L131" s="20"/>
      <x:c r="M131" s="20"/>
      <x:c r="N131" s="20"/>
      <x:c r="O131" s="20"/>
      <x:c r="P131" s="20"/>
      <x:c r="Q131" s="20"/>
      <x:c r="R131" s="20"/>
      <x:c r="S131" s="20"/>
      <x:c r="T131" s="20"/>
      <x:c r="U131" s="20"/>
      <x:c r="V131" s="20"/>
      <x:c r="W131" s="20"/>
      <x:c r="X131" s="20"/>
      <x:c r="Y131" s="20"/>
      <x:c r="Z131" s="20"/>
    </x:row>
    <x:row r="132">
      <x:c r="A132" s="20"/>
      <x:c r="B132" s="20"/>
      <x:c r="C132" s="20"/>
      <x:c r="D132" s="20"/>
      <x:c r="E132" s="20"/>
      <x:c r="F132" s="20"/>
      <x:c r="G132" s="20"/>
      <x:c r="H132" s="20"/>
      <x:c r="I132" s="20"/>
      <x:c r="J132" s="20"/>
      <x:c r="K132" s="20"/>
      <x:c r="L132" s="20"/>
      <x:c r="M132" s="20"/>
      <x:c r="N132" s="20"/>
      <x:c r="O132" s="20"/>
      <x:c r="P132" s="20"/>
      <x:c r="Q132" s="20"/>
      <x:c r="R132" s="20"/>
      <x:c r="S132" s="20"/>
      <x:c r="T132" s="20"/>
      <x:c r="U132" s="20"/>
      <x:c r="V132" s="20"/>
      <x:c r="W132" s="20"/>
      <x:c r="X132" s="20"/>
      <x:c r="Y132" s="20"/>
      <x:c r="Z132" s="20"/>
    </x:row>
    <x:row r="133">
      <x:c r="A133" s="20"/>
      <x:c r="B133" s="20"/>
      <x:c r="C133" s="20"/>
      <x:c r="D133" s="20"/>
      <x:c r="E133" s="20"/>
      <x:c r="F133" s="20"/>
      <x:c r="G133" s="20"/>
      <x:c r="H133" s="20"/>
      <x:c r="I133" s="20"/>
      <x:c r="J133" s="20"/>
      <x:c r="K133" s="20"/>
      <x:c r="L133" s="20"/>
      <x:c r="M133" s="20"/>
      <x:c r="N133" s="20"/>
      <x:c r="O133" s="20"/>
      <x:c r="P133" s="20"/>
      <x:c r="Q133" s="20"/>
      <x:c r="R133" s="20"/>
      <x:c r="S133" s="20"/>
      <x:c r="T133" s="20"/>
      <x:c r="U133" s="20"/>
      <x:c r="V133" s="20"/>
      <x:c r="W133" s="20"/>
      <x:c r="X133" s="20"/>
      <x:c r="Y133" s="20"/>
      <x:c r="Z133" s="20"/>
    </x:row>
    <x:row r="134">
      <x:c r="A134" s="20"/>
      <x:c r="B134" s="20"/>
      <x:c r="C134" s="20"/>
      <x:c r="D134" s="20"/>
      <x:c r="E134" s="20"/>
      <x:c r="F134" s="20"/>
      <x:c r="G134" s="20"/>
      <x:c r="H134" s="20"/>
      <x:c r="I134" s="20"/>
      <x:c r="J134" s="20"/>
      <x:c r="K134" s="20"/>
      <x:c r="L134" s="20"/>
      <x:c r="M134" s="20"/>
      <x:c r="N134" s="20"/>
      <x:c r="O134" s="20"/>
      <x:c r="P134" s="20"/>
      <x:c r="Q134" s="20"/>
      <x:c r="R134" s="20"/>
      <x:c r="S134" s="20"/>
      <x:c r="T134" s="20"/>
      <x:c r="U134" s="20"/>
      <x:c r="V134" s="20"/>
      <x:c r="W134" s="20"/>
      <x:c r="X134" s="20"/>
      <x:c r="Y134" s="20"/>
      <x:c r="Z134" s="20"/>
    </x:row>
    <x:row r="135">
      <x:c r="A135" s="20"/>
      <x:c r="B135" s="20"/>
      <x:c r="C135" s="20"/>
      <x:c r="D135" s="20"/>
      <x:c r="E135" s="20"/>
      <x:c r="F135" s="20"/>
      <x:c r="G135" s="20"/>
      <x:c r="H135" s="20"/>
      <x:c r="I135" s="20"/>
      <x:c r="J135" s="20"/>
      <x:c r="K135" s="20"/>
      <x:c r="L135" s="20"/>
      <x:c r="M135" s="20"/>
      <x:c r="N135" s="20"/>
      <x:c r="O135" s="20"/>
      <x:c r="P135" s="20"/>
      <x:c r="Q135" s="20"/>
      <x:c r="R135" s="20"/>
      <x:c r="S135" s="20"/>
      <x:c r="T135" s="20"/>
      <x:c r="U135" s="20"/>
      <x:c r="V135" s="20"/>
      <x:c r="W135" s="20"/>
      <x:c r="X135" s="20"/>
      <x:c r="Y135" s="20"/>
      <x:c r="Z135" s="20"/>
    </x:row>
    <x:row r="136">
      <x:c r="A136" s="20"/>
      <x:c r="B136" s="20"/>
      <x:c r="C136" s="20"/>
      <x:c r="D136" s="20"/>
      <x:c r="E136" s="20"/>
      <x:c r="F136" s="20"/>
      <x:c r="G136" s="20"/>
      <x:c r="H136" s="20"/>
      <x:c r="I136" s="20"/>
      <x:c r="J136" s="20"/>
      <x:c r="K136" s="20"/>
      <x:c r="L136" s="20"/>
      <x:c r="M136" s="20"/>
      <x:c r="N136" s="20"/>
      <x:c r="O136" s="20"/>
      <x:c r="P136" s="20"/>
      <x:c r="Q136" s="20"/>
      <x:c r="R136" s="20"/>
      <x:c r="S136" s="20"/>
      <x:c r="T136" s="20"/>
      <x:c r="U136" s="20"/>
      <x:c r="V136" s="20"/>
      <x:c r="W136" s="20"/>
      <x:c r="X136" s="20"/>
      <x:c r="Y136" s="20"/>
      <x:c r="Z136" s="20"/>
    </x:row>
    <x:row r="137">
      <x:c r="A137" s="20"/>
      <x:c r="B137" s="20"/>
      <x:c r="C137" s="20"/>
      <x:c r="D137" s="20"/>
      <x:c r="E137" s="20"/>
      <x:c r="F137" s="20"/>
      <x:c r="G137" s="20"/>
      <x:c r="H137" s="20"/>
      <x:c r="I137" s="20"/>
      <x:c r="J137" s="20"/>
      <x:c r="K137" s="20"/>
      <x:c r="L137" s="20"/>
      <x:c r="M137" s="20"/>
      <x:c r="N137" s="20"/>
      <x:c r="O137" s="20"/>
      <x:c r="P137" s="20"/>
      <x:c r="Q137" s="20"/>
      <x:c r="R137" s="20"/>
      <x:c r="S137" s="20"/>
      <x:c r="T137" s="20"/>
      <x:c r="U137" s="20"/>
      <x:c r="V137" s="20"/>
      <x:c r="W137" s="20"/>
      <x:c r="X137" s="20"/>
      <x:c r="Y137" s="20"/>
      <x:c r="Z137" s="20"/>
    </x:row>
    <x:row r="138">
      <x:c r="A138" s="20"/>
      <x:c r="B138" s="20"/>
      <x:c r="C138" s="20"/>
      <x:c r="D138" s="20"/>
      <x:c r="E138" s="20"/>
      <x:c r="F138" s="20"/>
      <x:c r="G138" s="20"/>
      <x:c r="H138" s="20"/>
      <x:c r="I138" s="20"/>
      <x:c r="J138" s="20"/>
      <x:c r="K138" s="20"/>
      <x:c r="L138" s="20"/>
      <x:c r="M138" s="20"/>
      <x:c r="N138" s="20"/>
      <x:c r="O138" s="20"/>
      <x:c r="P138" s="20"/>
      <x:c r="Q138" s="20"/>
      <x:c r="R138" s="20"/>
      <x:c r="S138" s="20"/>
      <x:c r="T138" s="20"/>
      <x:c r="U138" s="20"/>
      <x:c r="V138" s="20"/>
      <x:c r="W138" s="20"/>
      <x:c r="X138" s="20"/>
      <x:c r="Y138" s="20"/>
      <x:c r="Z138" s="20"/>
    </x:row>
    <x:row r="139">
      <x:c r="A139" s="20"/>
      <x:c r="B139" s="20"/>
      <x:c r="C139" s="20"/>
      <x:c r="D139" s="20"/>
      <x:c r="E139" s="20"/>
      <x:c r="F139" s="20"/>
      <x:c r="G139" s="20"/>
      <x:c r="H139" s="20"/>
      <x:c r="I139" s="20"/>
      <x:c r="J139" s="20"/>
      <x:c r="K139" s="20"/>
      <x:c r="L139" s="20"/>
      <x:c r="M139" s="20"/>
      <x:c r="N139" s="20"/>
      <x:c r="O139" s="20"/>
      <x:c r="P139" s="20"/>
      <x:c r="Q139" s="20"/>
      <x:c r="R139" s="20"/>
      <x:c r="S139" s="20"/>
      <x:c r="T139" s="20"/>
      <x:c r="U139" s="20"/>
      <x:c r="V139" s="20"/>
      <x:c r="W139" s="20"/>
      <x:c r="X139" s="20"/>
      <x:c r="Y139" s="20"/>
      <x:c r="Z139" s="20"/>
    </x:row>
    <x:row r="140">
      <x:c r="A140" s="20"/>
      <x:c r="B140" s="20"/>
      <x:c r="C140" s="20"/>
      <x:c r="D140" s="20"/>
      <x:c r="E140" s="20"/>
      <x:c r="F140" s="20"/>
      <x:c r="G140" s="20"/>
      <x:c r="H140" s="20"/>
      <x:c r="I140" s="20"/>
      <x:c r="J140" s="20"/>
      <x:c r="K140" s="20"/>
      <x:c r="L140" s="20"/>
      <x:c r="M140" s="20"/>
      <x:c r="N140" s="20"/>
      <x:c r="O140" s="20"/>
      <x:c r="P140" s="20"/>
      <x:c r="Q140" s="20"/>
      <x:c r="R140" s="20"/>
      <x:c r="S140" s="20"/>
      <x:c r="T140" s="20"/>
      <x:c r="U140" s="20"/>
      <x:c r="V140" s="20"/>
      <x:c r="W140" s="20"/>
      <x:c r="X140" s="20"/>
      <x:c r="Y140" s="20"/>
      <x:c r="Z140" s="20"/>
    </x:row>
    <x:row r="141">
      <x:c r="A141" s="20"/>
      <x:c r="B141" s="20"/>
      <x:c r="C141" s="20"/>
      <x:c r="D141" s="20"/>
      <x:c r="E141" s="20"/>
      <x:c r="F141" s="20"/>
      <x:c r="G141" s="20"/>
      <x:c r="H141" s="20"/>
      <x:c r="I141" s="20"/>
      <x:c r="J141" s="20"/>
      <x:c r="K141" s="20"/>
      <x:c r="L141" s="20"/>
      <x:c r="M141" s="20"/>
      <x:c r="N141" s="20"/>
      <x:c r="O141" s="20"/>
      <x:c r="P141" s="20"/>
      <x:c r="Q141" s="20"/>
      <x:c r="R141" s="20"/>
      <x:c r="S141" s="20"/>
      <x:c r="T141" s="20"/>
      <x:c r="U141" s="20"/>
      <x:c r="V141" s="20"/>
      <x:c r="W141" s="20"/>
      <x:c r="X141" s="20"/>
      <x:c r="Y141" s="20"/>
      <x:c r="Z141" s="20"/>
    </x:row>
    <x:row r="142">
      <x:c r="A142" s="20"/>
      <x:c r="B142" s="20"/>
      <x:c r="C142" s="20"/>
      <x:c r="D142" s="20"/>
      <x:c r="E142" s="20"/>
      <x:c r="F142" s="20"/>
      <x:c r="G142" s="20"/>
      <x:c r="H142" s="20"/>
      <x:c r="I142" s="20"/>
      <x:c r="J142" s="20"/>
      <x:c r="K142" s="20"/>
      <x:c r="L142" s="20"/>
      <x:c r="M142" s="20"/>
      <x:c r="N142" s="20"/>
      <x:c r="O142" s="20"/>
      <x:c r="P142" s="20"/>
      <x:c r="Q142" s="20"/>
      <x:c r="R142" s="20"/>
      <x:c r="S142" s="20"/>
      <x:c r="T142" s="20"/>
      <x:c r="U142" s="20"/>
      <x:c r="V142" s="20"/>
      <x:c r="W142" s="20"/>
      <x:c r="X142" s="20"/>
      <x:c r="Y142" s="20"/>
      <x:c r="Z142" s="20"/>
    </x:row>
    <x:row r="143">
      <x:c r="A143" s="20"/>
      <x:c r="B143" s="20"/>
      <x:c r="C143" s="20"/>
      <x:c r="D143" s="20"/>
      <x:c r="E143" s="20"/>
      <x:c r="F143" s="20"/>
      <x:c r="G143" s="20"/>
      <x:c r="H143" s="20"/>
      <x:c r="I143" s="20"/>
      <x:c r="J143" s="20"/>
      <x:c r="K143" s="20"/>
      <x:c r="L143" s="20"/>
      <x:c r="M143" s="20"/>
      <x:c r="N143" s="20"/>
      <x:c r="O143" s="20"/>
      <x:c r="P143" s="20"/>
      <x:c r="Q143" s="20"/>
      <x:c r="R143" s="20"/>
      <x:c r="S143" s="20"/>
      <x:c r="T143" s="20"/>
      <x:c r="U143" s="20"/>
      <x:c r="V143" s="20"/>
      <x:c r="W143" s="20"/>
      <x:c r="X143" s="20"/>
      <x:c r="Y143" s="20"/>
      <x:c r="Z143" s="20"/>
    </x:row>
    <x:row r="144">
      <x:c r="A144" s="20"/>
      <x:c r="B144" s="20"/>
      <x:c r="C144" s="20"/>
      <x:c r="D144" s="20"/>
      <x:c r="E144" s="20"/>
      <x:c r="F144" s="20"/>
      <x:c r="G144" s="20"/>
      <x:c r="H144" s="20"/>
      <x:c r="I144" s="20"/>
      <x:c r="J144" s="20"/>
      <x:c r="K144" s="20"/>
      <x:c r="L144" s="20"/>
      <x:c r="M144" s="20"/>
      <x:c r="N144" s="20"/>
      <x:c r="O144" s="20"/>
      <x:c r="P144" s="20"/>
      <x:c r="Q144" s="20"/>
      <x:c r="R144" s="20"/>
      <x:c r="S144" s="20"/>
      <x:c r="T144" s="20"/>
      <x:c r="U144" s="20"/>
      <x:c r="V144" s="20"/>
      <x:c r="W144" s="20"/>
      <x:c r="X144" s="20"/>
      <x:c r="Y144" s="20"/>
      <x:c r="Z144" s="20"/>
    </x:row>
    <x:row r="145">
      <x:c r="A145" s="20"/>
      <x:c r="B145" s="20"/>
      <x:c r="C145" s="20"/>
      <x:c r="D145" s="20"/>
      <x:c r="E145" s="20"/>
      <x:c r="F145" s="20"/>
      <x:c r="G145" s="20"/>
      <x:c r="H145" s="20"/>
      <x:c r="I145" s="20"/>
      <x:c r="J145" s="20"/>
      <x:c r="K145" s="20"/>
      <x:c r="L145" s="20"/>
      <x:c r="M145" s="20"/>
      <x:c r="N145" s="20"/>
      <x:c r="O145" s="20"/>
      <x:c r="P145" s="20"/>
      <x:c r="Q145" s="20"/>
      <x:c r="R145" s="20"/>
      <x:c r="S145" s="20"/>
      <x:c r="T145" s="20"/>
      <x:c r="U145" s="20"/>
      <x:c r="V145" s="20"/>
      <x:c r="W145" s="20"/>
      <x:c r="X145" s="20"/>
      <x:c r="Y145" s="20"/>
      <x:c r="Z145" s="20"/>
    </x:row>
    <x:row r="146">
      <x:c r="A146" s="20"/>
      <x:c r="B146" s="20"/>
      <x:c r="C146" s="20"/>
      <x:c r="D146" s="20"/>
      <x:c r="E146" s="20"/>
      <x:c r="F146" s="20"/>
      <x:c r="G146" s="20"/>
      <x:c r="H146" s="20"/>
      <x:c r="I146" s="20"/>
      <x:c r="J146" s="20"/>
      <x:c r="K146" s="20"/>
      <x:c r="L146" s="20"/>
      <x:c r="M146" s="20"/>
      <x:c r="N146" s="20"/>
      <x:c r="O146" s="20"/>
      <x:c r="P146" s="20"/>
      <x:c r="Q146" s="20"/>
      <x:c r="R146" s="20"/>
      <x:c r="S146" s="20"/>
      <x:c r="T146" s="20"/>
      <x:c r="U146" s="20"/>
      <x:c r="V146" s="20"/>
      <x:c r="W146" s="20"/>
      <x:c r="X146" s="20"/>
      <x:c r="Y146" s="20"/>
      <x:c r="Z146" s="20"/>
    </x:row>
    <x:row r="147">
      <x:c r="A147" s="20"/>
      <x:c r="B147" s="20"/>
      <x:c r="C147" s="20"/>
      <x:c r="D147" s="20"/>
      <x:c r="E147" s="20"/>
      <x:c r="F147" s="20"/>
      <x:c r="G147" s="20"/>
      <x:c r="H147" s="20"/>
      <x:c r="I147" s="20"/>
      <x:c r="J147" s="20"/>
      <x:c r="K147" s="20"/>
      <x:c r="L147" s="20"/>
      <x:c r="M147" s="20"/>
      <x:c r="N147" s="20"/>
      <x:c r="O147" s="20"/>
      <x:c r="P147" s="20"/>
      <x:c r="Q147" s="20"/>
      <x:c r="R147" s="20"/>
      <x:c r="S147" s="20"/>
      <x:c r="T147" s="20"/>
      <x:c r="U147" s="20"/>
      <x:c r="V147" s="20"/>
      <x:c r="W147" s="20"/>
      <x:c r="X147" s="20"/>
      <x:c r="Y147" s="20"/>
      <x:c r="Z147" s="20"/>
    </x:row>
    <x:row r="148">
      <x:c r="A148" s="20"/>
      <x:c r="B148" s="20"/>
      <x:c r="C148" s="20"/>
      <x:c r="D148" s="20"/>
      <x:c r="E148" s="20"/>
      <x:c r="F148" s="20"/>
      <x:c r="G148" s="20"/>
      <x:c r="H148" s="20"/>
      <x:c r="I148" s="20"/>
      <x:c r="J148" s="20"/>
      <x:c r="K148" s="20"/>
      <x:c r="L148" s="20"/>
      <x:c r="M148" s="20"/>
      <x:c r="N148" s="20"/>
      <x:c r="O148" s="20"/>
      <x:c r="P148" s="20"/>
      <x:c r="Q148" s="20"/>
      <x:c r="R148" s="20"/>
      <x:c r="S148" s="20"/>
      <x:c r="T148" s="20"/>
      <x:c r="U148" s="20"/>
      <x:c r="V148" s="20"/>
      <x:c r="W148" s="20"/>
      <x:c r="X148" s="20"/>
      <x:c r="Y148" s="20"/>
      <x:c r="Z148" s="20"/>
    </x:row>
    <x:row r="149">
      <x:c r="A149" s="20"/>
      <x:c r="B149" s="20"/>
      <x:c r="C149" s="20"/>
      <x:c r="D149" s="20"/>
      <x:c r="E149" s="20"/>
      <x:c r="F149" s="20"/>
      <x:c r="G149" s="20"/>
      <x:c r="H149" s="20"/>
      <x:c r="I149" s="20"/>
      <x:c r="J149" s="20"/>
      <x:c r="K149" s="20"/>
      <x:c r="L149" s="20"/>
      <x:c r="M149" s="20"/>
      <x:c r="N149" s="20"/>
      <x:c r="O149" s="20"/>
      <x:c r="P149" s="20"/>
      <x:c r="Q149" s="20"/>
      <x:c r="R149" s="20"/>
      <x:c r="S149" s="20"/>
      <x:c r="T149" s="20"/>
      <x:c r="U149" s="20"/>
      <x:c r="V149" s="20"/>
      <x:c r="W149" s="20"/>
      <x:c r="X149" s="20"/>
      <x:c r="Y149" s="20"/>
      <x:c r="Z149" s="20"/>
    </x:row>
    <x:row r="150">
      <x:c r="A150" s="20"/>
      <x:c r="B150" s="20"/>
      <x:c r="C150" s="20"/>
      <x:c r="D150" s="20"/>
      <x:c r="E150" s="20"/>
      <x:c r="F150" s="20"/>
      <x:c r="G150" s="20"/>
      <x:c r="H150" s="20"/>
      <x:c r="I150" s="20"/>
      <x:c r="J150" s="20"/>
      <x:c r="K150" s="20"/>
      <x:c r="L150" s="20"/>
      <x:c r="M150" s="20"/>
      <x:c r="N150" s="20"/>
      <x:c r="O150" s="20"/>
      <x:c r="P150" s="20"/>
      <x:c r="Q150" s="20"/>
      <x:c r="R150" s="20"/>
      <x:c r="S150" s="20"/>
      <x:c r="T150" s="20"/>
      <x:c r="U150" s="20"/>
      <x:c r="V150" s="20"/>
      <x:c r="W150" s="20"/>
      <x:c r="X150" s="20"/>
      <x:c r="Y150" s="20"/>
      <x:c r="Z150" s="20"/>
    </x:row>
    <x:row r="151">
      <x:c r="A151" s="20"/>
      <x:c r="B151" s="20"/>
      <x:c r="C151" s="20"/>
      <x:c r="D151" s="20"/>
      <x:c r="E151" s="20"/>
      <x:c r="F151" s="20"/>
      <x:c r="G151" s="20"/>
      <x:c r="H151" s="20"/>
      <x:c r="I151" s="20"/>
      <x:c r="J151" s="20"/>
      <x:c r="K151" s="20"/>
      <x:c r="L151" s="20"/>
      <x:c r="M151" s="20"/>
      <x:c r="N151" s="20"/>
      <x:c r="O151" s="20"/>
      <x:c r="P151" s="20"/>
      <x:c r="Q151" s="20"/>
      <x:c r="R151" s="20"/>
      <x:c r="S151" s="20"/>
      <x:c r="T151" s="20"/>
      <x:c r="U151" s="20"/>
      <x:c r="V151" s="20"/>
      <x:c r="W151" s="20"/>
      <x:c r="X151" s="20"/>
      <x:c r="Y151" s="20"/>
      <x:c r="Z151" s="20"/>
    </x:row>
    <x:row r="152">
      <x:c r="A152" s="20"/>
      <x:c r="B152" s="20"/>
      <x:c r="C152" s="20"/>
      <x:c r="D152" s="20"/>
      <x:c r="E152" s="20"/>
      <x:c r="F152" s="20"/>
      <x:c r="G152" s="20"/>
      <x:c r="H152" s="20"/>
      <x:c r="I152" s="20"/>
      <x:c r="J152" s="20"/>
      <x:c r="K152" s="20"/>
      <x:c r="L152" s="20"/>
      <x:c r="M152" s="20"/>
      <x:c r="N152" s="20"/>
      <x:c r="O152" s="20"/>
      <x:c r="P152" s="20"/>
      <x:c r="Q152" s="20"/>
      <x:c r="R152" s="20"/>
      <x:c r="S152" s="20"/>
      <x:c r="T152" s="20"/>
      <x:c r="U152" s="20"/>
      <x:c r="V152" s="20"/>
      <x:c r="W152" s="20"/>
      <x:c r="X152" s="20"/>
      <x:c r="Y152" s="20"/>
      <x:c r="Z152" s="20"/>
    </x:row>
    <x:row r="153">
      <x:c r="A153" s="20"/>
      <x:c r="B153" s="20"/>
      <x:c r="C153" s="20"/>
      <x:c r="D153" s="20"/>
      <x:c r="E153" s="20"/>
      <x:c r="F153" s="20"/>
      <x:c r="G153" s="20"/>
      <x:c r="H153" s="20"/>
      <x:c r="I153" s="20"/>
      <x:c r="J153" s="20"/>
      <x:c r="K153" s="20"/>
      <x:c r="L153" s="20"/>
      <x:c r="M153" s="20"/>
      <x:c r="N153" s="20"/>
      <x:c r="O153" s="20"/>
      <x:c r="P153" s="20"/>
      <x:c r="Q153" s="20"/>
      <x:c r="R153" s="20"/>
      <x:c r="S153" s="20"/>
      <x:c r="T153" s="20"/>
      <x:c r="U153" s="20"/>
      <x:c r="V153" s="20"/>
      <x:c r="W153" s="20"/>
      <x:c r="X153" s="20"/>
      <x:c r="Y153" s="20"/>
      <x:c r="Z153" s="20"/>
    </x:row>
    <x:row r="154">
      <x:c r="A154" s="20"/>
      <x:c r="B154" s="20"/>
      <x:c r="C154" s="20"/>
      <x:c r="D154" s="20"/>
      <x:c r="E154" s="20"/>
      <x:c r="F154" s="20"/>
      <x:c r="G154" s="20"/>
      <x:c r="H154" s="20"/>
      <x:c r="I154" s="20"/>
      <x:c r="J154" s="20"/>
      <x:c r="K154" s="20"/>
      <x:c r="L154" s="20"/>
      <x:c r="M154" s="20"/>
      <x:c r="N154" s="20"/>
      <x:c r="O154" s="20"/>
      <x:c r="P154" s="20"/>
      <x:c r="Q154" s="20"/>
      <x:c r="R154" s="20"/>
      <x:c r="S154" s="20"/>
      <x:c r="T154" s="20"/>
      <x:c r="U154" s="20"/>
      <x:c r="V154" s="20"/>
      <x:c r="W154" s="20"/>
      <x:c r="X154" s="20"/>
      <x:c r="Y154" s="20"/>
      <x:c r="Z154" s="20"/>
    </x:row>
    <x:row r="155">
      <x:c r="A155" s="20"/>
      <x:c r="B155" s="20"/>
      <x:c r="C155" s="20"/>
      <x:c r="D155" s="20"/>
      <x:c r="E155" s="20"/>
      <x:c r="F155" s="20"/>
      <x:c r="G155" s="20"/>
      <x:c r="H155" s="20"/>
      <x:c r="I155" s="20"/>
      <x:c r="J155" s="20"/>
      <x:c r="K155" s="20"/>
      <x:c r="L155" s="20"/>
      <x:c r="M155" s="20"/>
      <x:c r="N155" s="20"/>
      <x:c r="O155" s="20"/>
      <x:c r="P155" s="20"/>
      <x:c r="Q155" s="20"/>
      <x:c r="R155" s="20"/>
      <x:c r="S155" s="20"/>
      <x:c r="T155" s="20"/>
      <x:c r="U155" s="20"/>
      <x:c r="V155" s="20"/>
      <x:c r="W155" s="20"/>
      <x:c r="X155" s="20"/>
      <x:c r="Y155" s="20"/>
      <x:c r="Z155" s="20"/>
    </x:row>
    <x:row r="156">
      <x:c r="A156" s="20"/>
      <x:c r="B156" s="20"/>
      <x:c r="C156" s="20"/>
      <x:c r="D156" s="20"/>
      <x:c r="E156" s="20"/>
      <x:c r="F156" s="20"/>
      <x:c r="G156" s="20"/>
      <x:c r="H156" s="20"/>
      <x:c r="I156" s="20"/>
      <x:c r="J156" s="20"/>
      <x:c r="K156" s="20"/>
      <x:c r="L156" s="20"/>
      <x:c r="M156" s="20"/>
      <x:c r="N156" s="20"/>
      <x:c r="O156" s="20"/>
      <x:c r="P156" s="20"/>
      <x:c r="Q156" s="20"/>
      <x:c r="R156" s="20"/>
      <x:c r="S156" s="20"/>
      <x:c r="T156" s="20"/>
      <x:c r="U156" s="20"/>
      <x:c r="V156" s="20"/>
      <x:c r="W156" s="20"/>
      <x:c r="X156" s="20"/>
      <x:c r="Y156" s="20"/>
      <x:c r="Z156" s="20"/>
    </x:row>
    <x:row r="157">
      <x:c r="A157" s="20"/>
      <x:c r="B157" s="20"/>
      <x:c r="C157" s="20"/>
      <x:c r="D157" s="20"/>
      <x:c r="E157" s="20"/>
      <x:c r="F157" s="20"/>
      <x:c r="G157" s="20"/>
      <x:c r="H157" s="20"/>
      <x:c r="I157" s="20"/>
      <x:c r="J157" s="20"/>
      <x:c r="K157" s="20"/>
      <x:c r="L157" s="20"/>
      <x:c r="M157" s="20"/>
      <x:c r="N157" s="20"/>
      <x:c r="O157" s="20"/>
      <x:c r="P157" s="20"/>
      <x:c r="Q157" s="20"/>
      <x:c r="R157" s="20"/>
      <x:c r="S157" s="20"/>
      <x:c r="T157" s="20"/>
      <x:c r="U157" s="20"/>
      <x:c r="V157" s="20"/>
      <x:c r="W157" s="20"/>
      <x:c r="X157" s="20"/>
      <x:c r="Y157" s="20"/>
      <x:c r="Z157" s="20"/>
    </x:row>
    <x:row r="158">
      <x:c r="A158" s="20"/>
      <x:c r="B158" s="20"/>
      <x:c r="C158" s="20"/>
      <x:c r="D158" s="20"/>
      <x:c r="E158" s="20"/>
      <x:c r="F158" s="20"/>
      <x:c r="G158" s="20"/>
      <x:c r="H158" s="20"/>
      <x:c r="I158" s="20"/>
      <x:c r="J158" s="20"/>
      <x:c r="K158" s="20"/>
      <x:c r="L158" s="20"/>
      <x:c r="M158" s="20"/>
      <x:c r="N158" s="20"/>
      <x:c r="O158" s="20"/>
      <x:c r="P158" s="20"/>
      <x:c r="Q158" s="20"/>
      <x:c r="R158" s="20"/>
      <x:c r="S158" s="20"/>
      <x:c r="T158" s="20"/>
      <x:c r="U158" s="20"/>
      <x:c r="V158" s="20"/>
      <x:c r="W158" s="20"/>
      <x:c r="X158" s="20"/>
      <x:c r="Y158" s="20"/>
      <x:c r="Z158" s="20"/>
    </x:row>
    <x:row r="159">
      <x:c r="A159" s="20"/>
      <x:c r="B159" s="20"/>
      <x:c r="C159" s="20"/>
      <x:c r="D159" s="20"/>
      <x:c r="E159" s="20"/>
      <x:c r="F159" s="20"/>
      <x:c r="G159" s="20"/>
      <x:c r="H159" s="20"/>
      <x:c r="I159" s="20"/>
      <x:c r="J159" s="20"/>
      <x:c r="K159" s="20"/>
      <x:c r="L159" s="20"/>
      <x:c r="M159" s="20"/>
      <x:c r="N159" s="20"/>
      <x:c r="O159" s="20"/>
      <x:c r="P159" s="20"/>
      <x:c r="Q159" s="20"/>
      <x:c r="R159" s="20"/>
      <x:c r="S159" s="20"/>
      <x:c r="T159" s="20"/>
      <x:c r="U159" s="20"/>
      <x:c r="V159" s="20"/>
      <x:c r="W159" s="20"/>
      <x:c r="X159" s="20"/>
      <x:c r="Y159" s="20"/>
      <x:c r="Z159" s="20"/>
    </x:row>
    <x:row r="160">
      <x:c r="A160" s="20"/>
      <x:c r="B160" s="20"/>
      <x:c r="C160" s="20"/>
      <x:c r="D160" s="20"/>
      <x:c r="E160" s="20"/>
      <x:c r="F160" s="20"/>
      <x:c r="G160" s="20"/>
      <x:c r="H160" s="20"/>
      <x:c r="I160" s="20"/>
      <x:c r="J160" s="20"/>
      <x:c r="K160" s="20"/>
      <x:c r="L160" s="20"/>
      <x:c r="M160" s="20"/>
      <x:c r="N160" s="20"/>
      <x:c r="O160" s="20"/>
      <x:c r="P160" s="20"/>
      <x:c r="Q160" s="20"/>
      <x:c r="R160" s="20"/>
      <x:c r="S160" s="20"/>
      <x:c r="T160" s="20"/>
      <x:c r="U160" s="20"/>
      <x:c r="V160" s="20"/>
      <x:c r="W160" s="20"/>
      <x:c r="X160" s="20"/>
      <x:c r="Y160" s="20"/>
      <x:c r="Z160" s="20"/>
    </x:row>
    <x:row r="161">
      <x:c r="A161" s="20"/>
      <x:c r="B161" s="20"/>
      <x:c r="C161" s="20"/>
      <x:c r="D161" s="20"/>
      <x:c r="E161" s="20"/>
      <x:c r="F161" s="20"/>
      <x:c r="G161" s="20"/>
      <x:c r="H161" s="20"/>
      <x:c r="I161" s="20"/>
      <x:c r="J161" s="20"/>
      <x:c r="K161" s="20"/>
      <x:c r="L161" s="20"/>
      <x:c r="M161" s="20"/>
      <x:c r="N161" s="20"/>
      <x:c r="O161" s="20"/>
      <x:c r="P161" s="20"/>
      <x:c r="Q161" s="20"/>
      <x:c r="R161" s="20"/>
      <x:c r="S161" s="20"/>
      <x:c r="T161" s="20"/>
      <x:c r="U161" s="20"/>
      <x:c r="V161" s="20"/>
      <x:c r="W161" s="20"/>
      <x:c r="X161" s="20"/>
      <x:c r="Y161" s="20"/>
      <x:c r="Z161" s="20"/>
    </x:row>
    <x:row r="162">
      <x:c r="A162" s="20"/>
      <x:c r="B162" s="20"/>
      <x:c r="C162" s="20"/>
      <x:c r="D162" s="20"/>
      <x:c r="E162" s="20"/>
      <x:c r="F162" s="20"/>
      <x:c r="G162" s="20"/>
      <x:c r="H162" s="20"/>
      <x:c r="I162" s="20"/>
      <x:c r="J162" s="20"/>
      <x:c r="K162" s="20"/>
      <x:c r="L162" s="20"/>
      <x:c r="M162" s="20"/>
      <x:c r="N162" s="20"/>
      <x:c r="O162" s="20"/>
      <x:c r="P162" s="20"/>
      <x:c r="Q162" s="20"/>
      <x:c r="R162" s="20"/>
      <x:c r="S162" s="20"/>
      <x:c r="T162" s="20"/>
      <x:c r="U162" s="20"/>
      <x:c r="V162" s="20"/>
      <x:c r="W162" s="20"/>
      <x:c r="X162" s="20"/>
      <x:c r="Y162" s="20"/>
      <x:c r="Z162" s="20"/>
    </x:row>
    <x:row r="163">
      <x:c r="A163" s="20"/>
      <x:c r="B163" s="20"/>
      <x:c r="C163" s="20"/>
      <x:c r="D163" s="20"/>
      <x:c r="E163" s="20"/>
      <x:c r="F163" s="20"/>
      <x:c r="G163" s="20"/>
      <x:c r="H163" s="20"/>
      <x:c r="I163" s="20"/>
      <x:c r="J163" s="20"/>
      <x:c r="K163" s="20"/>
      <x:c r="L163" s="20"/>
      <x:c r="M163" s="20"/>
      <x:c r="N163" s="20"/>
      <x:c r="O163" s="20"/>
      <x:c r="P163" s="20"/>
      <x:c r="Q163" s="20"/>
      <x:c r="R163" s="20"/>
      <x:c r="S163" s="20"/>
      <x:c r="T163" s="20"/>
      <x:c r="U163" s="20"/>
      <x:c r="V163" s="20"/>
      <x:c r="W163" s="20"/>
      <x:c r="X163" s="20"/>
      <x:c r="Y163" s="20"/>
      <x:c r="Z163" s="20"/>
    </x:row>
    <x:row r="164">
      <x:c r="A164" s="20"/>
      <x:c r="B164" s="20"/>
      <x:c r="C164" s="20"/>
      <x:c r="D164" s="20"/>
      <x:c r="E164" s="20"/>
      <x:c r="F164" s="20"/>
      <x:c r="G164" s="20"/>
      <x:c r="H164" s="20"/>
      <x:c r="I164" s="20"/>
      <x:c r="J164" s="20"/>
      <x:c r="K164" s="20"/>
      <x:c r="L164" s="20"/>
      <x:c r="M164" s="20"/>
      <x:c r="N164" s="20"/>
      <x:c r="O164" s="20"/>
      <x:c r="P164" s="20"/>
      <x:c r="Q164" s="20"/>
      <x:c r="R164" s="20"/>
      <x:c r="S164" s="20"/>
      <x:c r="T164" s="20"/>
      <x:c r="U164" s="20"/>
      <x:c r="V164" s="20"/>
      <x:c r="W164" s="20"/>
      <x:c r="X164" s="20"/>
      <x:c r="Y164" s="20"/>
      <x:c r="Z164" s="20"/>
    </x:row>
    <x:row r="165">
      <x:c r="A165" s="20"/>
      <x:c r="B165" s="20"/>
      <x:c r="C165" s="20"/>
      <x:c r="D165" s="20"/>
      <x:c r="E165" s="20"/>
      <x:c r="F165" s="20"/>
      <x:c r="G165" s="20"/>
      <x:c r="H165" s="20"/>
      <x:c r="I165" s="20"/>
      <x:c r="J165" s="20"/>
      <x:c r="K165" s="20"/>
      <x:c r="L165" s="20"/>
      <x:c r="M165" s="20"/>
      <x:c r="N165" s="20"/>
      <x:c r="O165" s="20"/>
      <x:c r="P165" s="20"/>
      <x:c r="Q165" s="20"/>
      <x:c r="R165" s="20"/>
      <x:c r="S165" s="20"/>
      <x:c r="T165" s="20"/>
      <x:c r="U165" s="20"/>
      <x:c r="V165" s="20"/>
      <x:c r="W165" s="20"/>
      <x:c r="X165" s="20"/>
      <x:c r="Y165" s="20"/>
      <x:c r="Z165" s="20"/>
    </x:row>
    <x:row r="166">
      <x:c r="A166" s="20"/>
      <x:c r="B166" s="20"/>
      <x:c r="C166" s="20"/>
      <x:c r="D166" s="20"/>
      <x:c r="E166" s="20"/>
      <x:c r="F166" s="20"/>
      <x:c r="G166" s="20"/>
      <x:c r="H166" s="20"/>
      <x:c r="I166" s="20"/>
      <x:c r="J166" s="20"/>
      <x:c r="K166" s="20"/>
      <x:c r="L166" s="20"/>
      <x:c r="M166" s="20"/>
      <x:c r="N166" s="20"/>
      <x:c r="O166" s="20"/>
      <x:c r="P166" s="20"/>
      <x:c r="Q166" s="20"/>
      <x:c r="R166" s="20"/>
      <x:c r="S166" s="20"/>
      <x:c r="T166" s="20"/>
      <x:c r="U166" s="20"/>
      <x:c r="V166" s="20"/>
      <x:c r="W166" s="20"/>
      <x:c r="X166" s="20"/>
      <x:c r="Y166" s="20"/>
      <x:c r="Z166" s="20"/>
    </x:row>
    <x:row r="167">
      <x:c r="A167" s="20"/>
      <x:c r="B167" s="20"/>
      <x:c r="C167" s="20"/>
      <x:c r="D167" s="20"/>
      <x:c r="E167" s="20"/>
      <x:c r="F167" s="20"/>
      <x:c r="G167" s="20"/>
      <x:c r="H167" s="20"/>
      <x:c r="I167" s="20"/>
      <x:c r="J167" s="20"/>
      <x:c r="K167" s="20"/>
      <x:c r="L167" s="20"/>
      <x:c r="M167" s="20"/>
      <x:c r="N167" s="20"/>
      <x:c r="O167" s="20"/>
      <x:c r="P167" s="20"/>
      <x:c r="Q167" s="20"/>
      <x:c r="R167" s="20"/>
      <x:c r="S167" s="20"/>
      <x:c r="T167" s="20"/>
      <x:c r="U167" s="20"/>
      <x:c r="V167" s="20"/>
      <x:c r="W167" s="20"/>
      <x:c r="X167" s="20"/>
      <x:c r="Y167" s="20"/>
      <x:c r="Z167" s="20"/>
    </x:row>
    <x:row r="168">
      <x:c r="A168" s="20"/>
      <x:c r="B168" s="20"/>
      <x:c r="C168" s="20"/>
      <x:c r="D168" s="20"/>
      <x:c r="E168" s="20"/>
      <x:c r="F168" s="20"/>
      <x:c r="G168" s="20"/>
      <x:c r="H168" s="20"/>
      <x:c r="I168" s="20"/>
      <x:c r="J168" s="20"/>
      <x:c r="K168" s="20"/>
      <x:c r="L168" s="20"/>
      <x:c r="M168" s="20"/>
      <x:c r="N168" s="20"/>
      <x:c r="O168" s="20"/>
      <x:c r="P168" s="20"/>
      <x:c r="Q168" s="20"/>
      <x:c r="R168" s="20"/>
      <x:c r="S168" s="20"/>
      <x:c r="T168" s="20"/>
      <x:c r="U168" s="20"/>
      <x:c r="V168" s="20"/>
      <x:c r="W168" s="20"/>
      <x:c r="X168" s="20"/>
      <x:c r="Y168" s="20"/>
      <x:c r="Z168" s="20"/>
    </x:row>
    <x:row r="169">
      <x:c r="A169" s="20"/>
      <x:c r="B169" s="20"/>
      <x:c r="C169" s="20"/>
      <x:c r="D169" s="20"/>
      <x:c r="E169" s="20"/>
      <x:c r="F169" s="20"/>
      <x:c r="G169" s="20"/>
      <x:c r="H169" s="20"/>
      <x:c r="I169" s="20"/>
      <x:c r="J169" s="20"/>
      <x:c r="K169" s="20"/>
      <x:c r="L169" s="20"/>
      <x:c r="M169" s="20"/>
      <x:c r="N169" s="20"/>
      <x:c r="O169" s="20"/>
      <x:c r="P169" s="20"/>
      <x:c r="Q169" s="20"/>
      <x:c r="R169" s="20"/>
      <x:c r="S169" s="20"/>
      <x:c r="T169" s="20"/>
      <x:c r="U169" s="20"/>
      <x:c r="V169" s="20"/>
      <x:c r="W169" s="20"/>
      <x:c r="X169" s="20"/>
      <x:c r="Y169" s="20"/>
      <x:c r="Z169" s="20"/>
    </x:row>
    <x:row r="170">
      <x:c r="A170" s="20"/>
      <x:c r="B170" s="20"/>
      <x:c r="C170" s="20"/>
      <x:c r="D170" s="20"/>
      <x:c r="E170" s="20"/>
      <x:c r="F170" s="20"/>
      <x:c r="G170" s="20"/>
      <x:c r="H170" s="20"/>
      <x:c r="I170" s="20"/>
      <x:c r="J170" s="20"/>
      <x:c r="K170" s="20"/>
      <x:c r="L170" s="20"/>
      <x:c r="M170" s="20"/>
      <x:c r="N170" s="20"/>
      <x:c r="O170" s="20"/>
      <x:c r="P170" s="20"/>
      <x:c r="Q170" s="20"/>
      <x:c r="R170" s="20"/>
      <x:c r="S170" s="20"/>
      <x:c r="T170" s="20"/>
      <x:c r="U170" s="20"/>
      <x:c r="V170" s="20"/>
      <x:c r="W170" s="20"/>
      <x:c r="X170" s="20"/>
      <x:c r="Y170" s="20"/>
      <x:c r="Z170" s="20"/>
    </x:row>
    <x:row r="171">
      <x:c r="A171" s="20"/>
      <x:c r="B171" s="20"/>
      <x:c r="C171" s="20"/>
      <x:c r="D171" s="20"/>
      <x:c r="E171" s="20"/>
      <x:c r="F171" s="20"/>
      <x:c r="G171" s="20"/>
      <x:c r="H171" s="20"/>
      <x:c r="I171" s="20"/>
      <x:c r="J171" s="20"/>
      <x:c r="K171" s="20"/>
      <x:c r="L171" s="20"/>
      <x:c r="M171" s="20"/>
      <x:c r="N171" s="20"/>
      <x:c r="O171" s="20"/>
      <x:c r="P171" s="20"/>
      <x:c r="Q171" s="20"/>
      <x:c r="R171" s="20"/>
      <x:c r="S171" s="20"/>
      <x:c r="T171" s="20"/>
      <x:c r="U171" s="20"/>
      <x:c r="V171" s="20"/>
      <x:c r="W171" s="20"/>
      <x:c r="X171" s="20"/>
      <x:c r="Y171" s="20"/>
      <x:c r="Z171" s="20"/>
    </x:row>
    <x:row r="172">
      <x:c r="A172" s="20"/>
      <x:c r="B172" s="20"/>
      <x:c r="C172" s="20"/>
      <x:c r="D172" s="20"/>
      <x:c r="E172" s="20"/>
      <x:c r="F172" s="20"/>
      <x:c r="G172" s="20"/>
      <x:c r="H172" s="20"/>
      <x:c r="I172" s="20"/>
      <x:c r="J172" s="20"/>
      <x:c r="K172" s="20"/>
      <x:c r="L172" s="20"/>
      <x:c r="M172" s="20"/>
      <x:c r="N172" s="20"/>
      <x:c r="O172" s="20"/>
      <x:c r="P172" s="20"/>
      <x:c r="Q172" s="20"/>
      <x:c r="R172" s="20"/>
      <x:c r="S172" s="20"/>
      <x:c r="T172" s="20"/>
      <x:c r="U172" s="20"/>
      <x:c r="V172" s="20"/>
      <x:c r="W172" s="20"/>
      <x:c r="X172" s="20"/>
      <x:c r="Y172" s="20"/>
      <x:c r="Z172" s="20"/>
    </x:row>
    <x:row r="173">
      <x:c r="A173" s="20"/>
      <x:c r="B173" s="20"/>
      <x:c r="C173" s="20"/>
      <x:c r="D173" s="20"/>
      <x:c r="E173" s="20"/>
      <x:c r="F173" s="20"/>
      <x:c r="G173" s="20"/>
      <x:c r="H173" s="20"/>
      <x:c r="I173" s="20"/>
      <x:c r="J173" s="20"/>
      <x:c r="K173" s="20"/>
      <x:c r="L173" s="20"/>
      <x:c r="M173" s="20"/>
      <x:c r="N173" s="20"/>
      <x:c r="O173" s="20"/>
      <x:c r="P173" s="20"/>
      <x:c r="Q173" s="20"/>
      <x:c r="R173" s="20"/>
      <x:c r="S173" s="20"/>
      <x:c r="T173" s="20"/>
      <x:c r="U173" s="20"/>
      <x:c r="V173" s="20"/>
      <x:c r="W173" s="20"/>
      <x:c r="X173" s="20"/>
      <x:c r="Y173" s="20"/>
      <x:c r="Z173" s="20"/>
    </x:row>
    <x:row r="174">
      <x:c r="A174" s="20"/>
      <x:c r="B174" s="20"/>
      <x:c r="C174" s="20"/>
      <x:c r="D174" s="20"/>
      <x:c r="E174" s="20"/>
      <x:c r="F174" s="20"/>
      <x:c r="G174" s="20"/>
      <x:c r="H174" s="20"/>
      <x:c r="I174" s="20"/>
      <x:c r="J174" s="20"/>
      <x:c r="K174" s="20"/>
      <x:c r="L174" s="20"/>
      <x:c r="M174" s="20"/>
      <x:c r="N174" s="20"/>
      <x:c r="O174" s="20"/>
      <x:c r="P174" s="20"/>
      <x:c r="Q174" s="20"/>
      <x:c r="R174" s="20"/>
      <x:c r="S174" s="20"/>
      <x:c r="T174" s="20"/>
      <x:c r="U174" s="20"/>
      <x:c r="V174" s="20"/>
      <x:c r="W174" s="20"/>
      <x:c r="X174" s="20"/>
      <x:c r="Y174" s="20"/>
      <x:c r="Z174" s="20"/>
    </x:row>
    <x:row r="175">
      <x:c r="A175" s="20"/>
      <x:c r="B175" s="20"/>
      <x:c r="C175" s="20"/>
      <x:c r="D175" s="20"/>
      <x:c r="E175" s="20"/>
      <x:c r="F175" s="20"/>
      <x:c r="G175" s="20"/>
      <x:c r="H175" s="20"/>
      <x:c r="I175" s="20"/>
      <x:c r="J175" s="20"/>
      <x:c r="K175" s="20"/>
      <x:c r="L175" s="20"/>
      <x:c r="M175" s="20"/>
      <x:c r="N175" s="20"/>
      <x:c r="O175" s="20"/>
      <x:c r="P175" s="20"/>
      <x:c r="Q175" s="20"/>
      <x:c r="R175" s="20"/>
      <x:c r="S175" s="20"/>
      <x:c r="T175" s="20"/>
      <x:c r="U175" s="20"/>
      <x:c r="V175" s="20"/>
      <x:c r="W175" s="20"/>
      <x:c r="X175" s="20"/>
      <x:c r="Y175" s="20"/>
      <x:c r="Z175" s="20"/>
    </x:row>
    <x:row r="176">
      <x:c r="A176" s="20"/>
      <x:c r="B176" s="20"/>
      <x:c r="C176" s="20"/>
      <x:c r="D176" s="20"/>
      <x:c r="E176" s="20"/>
      <x:c r="F176" s="20"/>
      <x:c r="G176" s="20"/>
      <x:c r="H176" s="20"/>
      <x:c r="I176" s="20"/>
      <x:c r="J176" s="20"/>
      <x:c r="K176" s="20"/>
      <x:c r="L176" s="20"/>
      <x:c r="M176" s="20"/>
      <x:c r="N176" s="20"/>
      <x:c r="O176" s="20"/>
      <x:c r="P176" s="20"/>
      <x:c r="Q176" s="20"/>
      <x:c r="R176" s="20"/>
      <x:c r="S176" s="20"/>
      <x:c r="T176" s="20"/>
      <x:c r="U176" s="20"/>
      <x:c r="V176" s="20"/>
      <x:c r="W176" s="20"/>
      <x:c r="X176" s="20"/>
      <x:c r="Y176" s="20"/>
      <x:c r="Z176" s="20"/>
    </x:row>
    <x:row r="177">
      <x:c r="A177" s="20"/>
      <x:c r="B177" s="20"/>
      <x:c r="C177" s="20"/>
      <x:c r="D177" s="20"/>
      <x:c r="E177" s="20"/>
      <x:c r="F177" s="20"/>
      <x:c r="G177" s="20"/>
      <x:c r="H177" s="20"/>
      <x:c r="I177" s="20"/>
      <x:c r="J177" s="20"/>
      <x:c r="K177" s="20"/>
      <x:c r="L177" s="20"/>
      <x:c r="M177" s="20"/>
      <x:c r="N177" s="20"/>
      <x:c r="O177" s="20"/>
      <x:c r="P177" s="20"/>
      <x:c r="Q177" s="20"/>
      <x:c r="R177" s="20"/>
      <x:c r="S177" s="20"/>
      <x:c r="T177" s="20"/>
      <x:c r="U177" s="20"/>
      <x:c r="V177" s="20"/>
      <x:c r="W177" s="20"/>
      <x:c r="X177" s="20"/>
      <x:c r="Y177" s="20"/>
      <x:c r="Z177" s="20"/>
    </x:row>
    <x:row r="178">
      <x:c r="A178" s="20"/>
      <x:c r="B178" s="20"/>
      <x:c r="C178" s="20"/>
      <x:c r="D178" s="20"/>
      <x:c r="E178" s="20"/>
      <x:c r="F178" s="20"/>
      <x:c r="G178" s="20"/>
      <x:c r="H178" s="20"/>
      <x:c r="I178" s="20"/>
      <x:c r="J178" s="20"/>
      <x:c r="K178" s="20"/>
      <x:c r="L178" s="20"/>
      <x:c r="M178" s="20"/>
      <x:c r="N178" s="20"/>
      <x:c r="O178" s="20"/>
      <x:c r="P178" s="20"/>
      <x:c r="Q178" s="20"/>
      <x:c r="R178" s="20"/>
      <x:c r="S178" s="20"/>
      <x:c r="T178" s="20"/>
      <x:c r="U178" s="20"/>
      <x:c r="V178" s="20"/>
      <x:c r="W178" s="20"/>
      <x:c r="X178" s="20"/>
      <x:c r="Y178" s="20"/>
      <x:c r="Z178" s="20"/>
    </x:row>
    <x:row r="179">
      <x:c r="A179" s="20"/>
      <x:c r="B179" s="20"/>
      <x:c r="C179" s="20"/>
      <x:c r="D179" s="20"/>
      <x:c r="E179" s="20"/>
      <x:c r="F179" s="20"/>
      <x:c r="G179" s="20"/>
      <x:c r="H179" s="20"/>
      <x:c r="I179" s="20"/>
      <x:c r="J179" s="20"/>
      <x:c r="K179" s="20"/>
      <x:c r="L179" s="20"/>
      <x:c r="M179" s="20"/>
      <x:c r="N179" s="20"/>
      <x:c r="O179" s="20"/>
      <x:c r="P179" s="20"/>
      <x:c r="Q179" s="20"/>
      <x:c r="R179" s="20"/>
      <x:c r="S179" s="20"/>
      <x:c r="T179" s="20"/>
      <x:c r="U179" s="20"/>
      <x:c r="V179" s="20"/>
      <x:c r="W179" s="20"/>
      <x:c r="X179" s="20"/>
      <x:c r="Y179" s="20"/>
      <x:c r="Z179" s="20"/>
    </x:row>
    <x:row r="180">
      <x:c r="A180" s="20"/>
      <x:c r="B180" s="20"/>
      <x:c r="C180" s="20"/>
      <x:c r="D180" s="20"/>
      <x:c r="E180" s="20"/>
      <x:c r="F180" s="20"/>
      <x:c r="G180" s="20"/>
      <x:c r="H180" s="20"/>
      <x:c r="I180" s="20"/>
      <x:c r="J180" s="20"/>
      <x:c r="K180" s="20"/>
      <x:c r="L180" s="20"/>
      <x:c r="M180" s="20"/>
      <x:c r="N180" s="20"/>
      <x:c r="O180" s="20"/>
      <x:c r="P180" s="20"/>
      <x:c r="Q180" s="20"/>
      <x:c r="R180" s="20"/>
      <x:c r="S180" s="20"/>
      <x:c r="T180" s="20"/>
      <x:c r="U180" s="20"/>
      <x:c r="V180" s="20"/>
      <x:c r="W180" s="20"/>
      <x:c r="X180" s="20"/>
      <x:c r="Y180" s="20"/>
      <x:c r="Z180" s="20"/>
    </x:row>
    <x:row r="181">
      <x:c r="A181" s="20"/>
      <x:c r="B181" s="20"/>
      <x:c r="C181" s="20"/>
      <x:c r="D181" s="20"/>
      <x:c r="E181" s="20"/>
      <x:c r="F181" s="20"/>
      <x:c r="G181" s="20"/>
      <x:c r="H181" s="20"/>
      <x:c r="I181" s="20"/>
      <x:c r="J181" s="20"/>
      <x:c r="K181" s="20"/>
      <x:c r="L181" s="20"/>
      <x:c r="M181" s="20"/>
      <x:c r="N181" s="20"/>
      <x:c r="O181" s="20"/>
      <x:c r="P181" s="20"/>
      <x:c r="Q181" s="20"/>
      <x:c r="R181" s="20"/>
      <x:c r="S181" s="20"/>
      <x:c r="T181" s="20"/>
      <x:c r="U181" s="20"/>
      <x:c r="V181" s="20"/>
      <x:c r="W181" s="20"/>
      <x:c r="X181" s="20"/>
      <x:c r="Y181" s="20"/>
      <x:c r="Z181" s="20"/>
    </x:row>
    <x:row r="182">
      <x:c r="A182" s="20"/>
      <x:c r="B182" s="20"/>
      <x:c r="C182" s="20"/>
      <x:c r="D182" s="20"/>
      <x:c r="E182" s="20"/>
      <x:c r="F182" s="20"/>
      <x:c r="G182" s="20"/>
      <x:c r="H182" s="20"/>
      <x:c r="I182" s="20"/>
      <x:c r="J182" s="20"/>
      <x:c r="K182" s="20"/>
      <x:c r="L182" s="20"/>
      <x:c r="M182" s="20"/>
      <x:c r="N182" s="20"/>
      <x:c r="O182" s="20"/>
      <x:c r="P182" s="20"/>
      <x:c r="Q182" s="20"/>
      <x:c r="R182" s="20"/>
      <x:c r="S182" s="20"/>
      <x:c r="T182" s="20"/>
      <x:c r="U182" s="20"/>
      <x:c r="V182" s="20"/>
      <x:c r="W182" s="20"/>
      <x:c r="X182" s="20"/>
      <x:c r="Y182" s="20"/>
      <x:c r="Z182" s="20"/>
    </x:row>
    <x:row r="183">
      <x:c r="A183" s="20"/>
      <x:c r="B183" s="20"/>
      <x:c r="C183" s="20"/>
      <x:c r="D183" s="20"/>
      <x:c r="E183" s="20"/>
      <x:c r="F183" s="20"/>
      <x:c r="G183" s="20"/>
      <x:c r="H183" s="20"/>
      <x:c r="I183" s="20"/>
      <x:c r="J183" s="20"/>
      <x:c r="K183" s="20"/>
      <x:c r="L183" s="20"/>
      <x:c r="M183" s="20"/>
      <x:c r="N183" s="20"/>
      <x:c r="O183" s="20"/>
      <x:c r="P183" s="20"/>
      <x:c r="Q183" s="20"/>
      <x:c r="R183" s="20"/>
      <x:c r="S183" s="20"/>
      <x:c r="T183" s="20"/>
      <x:c r="U183" s="20"/>
      <x:c r="V183" s="20"/>
      <x:c r="W183" s="20"/>
      <x:c r="X183" s="20"/>
      <x:c r="Y183" s="20"/>
      <x:c r="Z183" s="20"/>
    </x:row>
    <x:row r="184">
      <x:c r="A184" s="20"/>
      <x:c r="B184" s="20"/>
      <x:c r="C184" s="20"/>
      <x:c r="D184" s="20"/>
      <x:c r="E184" s="20"/>
      <x:c r="F184" s="20"/>
      <x:c r="G184" s="20"/>
      <x:c r="H184" s="20"/>
      <x:c r="I184" s="20"/>
      <x:c r="J184" s="20"/>
      <x:c r="K184" s="20"/>
      <x:c r="L184" s="20"/>
      <x:c r="M184" s="20"/>
      <x:c r="N184" s="20"/>
      <x:c r="O184" s="20"/>
      <x:c r="P184" s="20"/>
      <x:c r="Q184" s="20"/>
      <x:c r="R184" s="20"/>
      <x:c r="S184" s="20"/>
      <x:c r="T184" s="20"/>
      <x:c r="U184" s="20"/>
      <x:c r="V184" s="20"/>
      <x:c r="W184" s="20"/>
      <x:c r="X184" s="20"/>
      <x:c r="Y184" s="20"/>
      <x:c r="Z184" s="20"/>
    </x:row>
    <x:row r="185">
      <x:c r="A185" s="20"/>
      <x:c r="B185" s="20"/>
      <x:c r="C185" s="20"/>
      <x:c r="D185" s="20"/>
      <x:c r="E185" s="20"/>
      <x:c r="F185" s="20"/>
      <x:c r="G185" s="20"/>
      <x:c r="H185" s="20"/>
      <x:c r="I185" s="20"/>
      <x:c r="J185" s="20"/>
      <x:c r="K185" s="20"/>
      <x:c r="L185" s="20"/>
      <x:c r="M185" s="20"/>
      <x:c r="N185" s="20"/>
      <x:c r="O185" s="20"/>
      <x:c r="P185" s="20"/>
      <x:c r="Q185" s="20"/>
      <x:c r="R185" s="20"/>
      <x:c r="S185" s="20"/>
      <x:c r="T185" s="20"/>
      <x:c r="U185" s="20"/>
      <x:c r="V185" s="20"/>
      <x:c r="W185" s="20"/>
      <x:c r="X185" s="20"/>
      <x:c r="Y185" s="20"/>
      <x:c r="Z185" s="20"/>
    </x:row>
    <x:row r="186">
      <x:c r="A186" s="20"/>
      <x:c r="B186" s="20"/>
      <x:c r="C186" s="20"/>
      <x:c r="D186" s="20"/>
      <x:c r="E186" s="20"/>
      <x:c r="F186" s="20"/>
      <x:c r="G186" s="20"/>
      <x:c r="H186" s="20"/>
      <x:c r="I186" s="20"/>
      <x:c r="J186" s="20"/>
      <x:c r="K186" s="20"/>
      <x:c r="L186" s="20"/>
      <x:c r="M186" s="20"/>
      <x:c r="N186" s="20"/>
      <x:c r="O186" s="20"/>
      <x:c r="P186" s="20"/>
      <x:c r="Q186" s="20"/>
      <x:c r="R186" s="20"/>
      <x:c r="S186" s="20"/>
      <x:c r="T186" s="20"/>
      <x:c r="U186" s="20"/>
      <x:c r="V186" s="20"/>
      <x:c r="W186" s="20"/>
      <x:c r="X186" s="20"/>
      <x:c r="Y186" s="20"/>
      <x:c r="Z186" s="20"/>
    </x:row>
    <x:row r="187">
      <x:c r="A187" s="20"/>
      <x:c r="B187" s="20"/>
      <x:c r="C187" s="20"/>
      <x:c r="D187" s="20"/>
      <x:c r="E187" s="20"/>
      <x:c r="F187" s="20"/>
      <x:c r="G187" s="20"/>
      <x:c r="H187" s="20"/>
      <x:c r="I187" s="20"/>
      <x:c r="J187" s="20"/>
      <x:c r="K187" s="20"/>
      <x:c r="L187" s="20"/>
      <x:c r="M187" s="20"/>
      <x:c r="N187" s="20"/>
      <x:c r="O187" s="20"/>
      <x:c r="P187" s="20"/>
      <x:c r="Q187" s="20"/>
      <x:c r="R187" s="20"/>
      <x:c r="S187" s="20"/>
      <x:c r="T187" s="20"/>
      <x:c r="U187" s="20"/>
      <x:c r="V187" s="20"/>
      <x:c r="W187" s="20"/>
      <x:c r="X187" s="20"/>
      <x:c r="Y187" s="20"/>
      <x:c r="Z187" s="20"/>
    </x:row>
    <x:row r="188">
      <x:c r="A188" s="20"/>
      <x:c r="B188" s="20"/>
      <x:c r="C188" s="20"/>
      <x:c r="D188" s="20"/>
      <x:c r="E188" s="20"/>
      <x:c r="F188" s="20"/>
      <x:c r="G188" s="20"/>
      <x:c r="H188" s="20"/>
      <x:c r="I188" s="20"/>
      <x:c r="J188" s="20"/>
      <x:c r="K188" s="20"/>
      <x:c r="L188" s="20"/>
      <x:c r="M188" s="20"/>
      <x:c r="N188" s="20"/>
      <x:c r="O188" s="20"/>
      <x:c r="P188" s="20"/>
      <x:c r="Q188" s="20"/>
      <x:c r="R188" s="20"/>
      <x:c r="S188" s="20"/>
      <x:c r="T188" s="20"/>
      <x:c r="U188" s="20"/>
      <x:c r="V188" s="20"/>
      <x:c r="W188" s="20"/>
      <x:c r="X188" s="20"/>
      <x:c r="Y188" s="20"/>
      <x:c r="Z188" s="20"/>
    </x:row>
    <x:row r="189">
      <x:c r="A189" s="20"/>
      <x:c r="B189" s="20"/>
      <x:c r="C189" s="20"/>
      <x:c r="D189" s="20"/>
      <x:c r="E189" s="20"/>
      <x:c r="F189" s="20"/>
      <x:c r="G189" s="20"/>
      <x:c r="H189" s="20"/>
      <x:c r="I189" s="20"/>
      <x:c r="J189" s="20"/>
      <x:c r="K189" s="20"/>
      <x:c r="L189" s="20"/>
      <x:c r="M189" s="20"/>
      <x:c r="N189" s="20"/>
      <x:c r="O189" s="20"/>
      <x:c r="P189" s="20"/>
      <x:c r="Q189" s="20"/>
      <x:c r="R189" s="20"/>
      <x:c r="S189" s="20"/>
      <x:c r="T189" s="20"/>
      <x:c r="U189" s="20"/>
      <x:c r="V189" s="20"/>
      <x:c r="W189" s="20"/>
      <x:c r="X189" s="20"/>
      <x:c r="Y189" s="20"/>
      <x:c r="Z189" s="20"/>
    </x:row>
    <x:row r="190">
      <x:c r="A190" s="20"/>
      <x:c r="B190" s="20"/>
      <x:c r="C190" s="20"/>
      <x:c r="D190" s="20"/>
      <x:c r="E190" s="20"/>
      <x:c r="F190" s="20"/>
      <x:c r="G190" s="20"/>
      <x:c r="H190" s="20"/>
      <x:c r="I190" s="20"/>
      <x:c r="J190" s="20"/>
      <x:c r="K190" s="20"/>
      <x:c r="L190" s="20"/>
      <x:c r="M190" s="20"/>
      <x:c r="N190" s="20"/>
      <x:c r="O190" s="20"/>
      <x:c r="P190" s="20"/>
      <x:c r="Q190" s="20"/>
      <x:c r="R190" s="20"/>
      <x:c r="S190" s="20"/>
      <x:c r="T190" s="20"/>
      <x:c r="U190" s="20"/>
      <x:c r="V190" s="20"/>
      <x:c r="W190" s="20"/>
      <x:c r="X190" s="20"/>
      <x:c r="Y190" s="20"/>
      <x:c r="Z190" s="20"/>
    </x:row>
    <x:row r="191">
      <x:c r="A191" s="20"/>
      <x:c r="B191" s="20"/>
      <x:c r="C191" s="20"/>
      <x:c r="D191" s="20"/>
      <x:c r="E191" s="20"/>
      <x:c r="F191" s="20"/>
      <x:c r="G191" s="20"/>
      <x:c r="H191" s="20"/>
      <x:c r="I191" s="20"/>
      <x:c r="J191" s="20"/>
      <x:c r="K191" s="20"/>
      <x:c r="L191" s="20"/>
      <x:c r="M191" s="20"/>
      <x:c r="N191" s="20"/>
      <x:c r="O191" s="20"/>
      <x:c r="P191" s="20"/>
      <x:c r="Q191" s="20"/>
      <x:c r="R191" s="20"/>
      <x:c r="S191" s="20"/>
      <x:c r="T191" s="20"/>
      <x:c r="U191" s="20"/>
      <x:c r="V191" s="20"/>
      <x:c r="W191" s="20"/>
      <x:c r="X191" s="20"/>
      <x:c r="Y191" s="20"/>
      <x:c r="Z191" s="20"/>
    </x:row>
    <x:row r="192">
      <x:c r="A192" s="20"/>
      <x:c r="B192" s="20"/>
      <x:c r="C192" s="20"/>
      <x:c r="D192" s="20"/>
      <x:c r="E192" s="20"/>
      <x:c r="F192" s="20"/>
      <x:c r="G192" s="20"/>
      <x:c r="H192" s="20"/>
      <x:c r="I192" s="20"/>
      <x:c r="J192" s="20"/>
      <x:c r="K192" s="20"/>
      <x:c r="L192" s="20"/>
      <x:c r="M192" s="20"/>
      <x:c r="N192" s="20"/>
      <x:c r="O192" s="20"/>
      <x:c r="P192" s="20"/>
      <x:c r="Q192" s="20"/>
      <x:c r="R192" s="20"/>
      <x:c r="S192" s="20"/>
      <x:c r="T192" s="20"/>
      <x:c r="U192" s="20"/>
      <x:c r="V192" s="20"/>
      <x:c r="W192" s="20"/>
      <x:c r="X192" s="20"/>
      <x:c r="Y192" s="20"/>
      <x:c r="Z192" s="20"/>
    </x:row>
    <x:row r="193">
      <x:c r="A193" s="20"/>
      <x:c r="B193" s="20"/>
      <x:c r="C193" s="20"/>
      <x:c r="D193" s="20"/>
      <x:c r="E193" s="20"/>
      <x:c r="F193" s="20"/>
      <x:c r="G193" s="20"/>
      <x:c r="H193" s="20"/>
      <x:c r="I193" s="20"/>
      <x:c r="J193" s="20"/>
      <x:c r="K193" s="20"/>
      <x:c r="L193" s="20"/>
      <x:c r="M193" s="20"/>
      <x:c r="N193" s="20"/>
      <x:c r="O193" s="20"/>
      <x:c r="P193" s="20"/>
      <x:c r="Q193" s="20"/>
      <x:c r="R193" s="20"/>
      <x:c r="S193" s="20"/>
      <x:c r="T193" s="20"/>
      <x:c r="U193" s="20"/>
      <x:c r="V193" s="20"/>
      <x:c r="W193" s="20"/>
      <x:c r="X193" s="20"/>
      <x:c r="Y193" s="20"/>
      <x:c r="Z193" s="20"/>
    </x:row>
    <x:row r="194">
      <x:c r="A194" s="20"/>
      <x:c r="B194" s="20"/>
      <x:c r="C194" s="20"/>
      <x:c r="D194" s="20"/>
      <x:c r="E194" s="20"/>
      <x:c r="F194" s="20"/>
      <x:c r="G194" s="20"/>
      <x:c r="H194" s="20"/>
      <x:c r="I194" s="20"/>
      <x:c r="J194" s="20"/>
      <x:c r="K194" s="20"/>
      <x:c r="L194" s="20"/>
      <x:c r="M194" s="20"/>
      <x:c r="N194" s="20"/>
      <x:c r="O194" s="20"/>
      <x:c r="P194" s="20"/>
      <x:c r="Q194" s="20"/>
      <x:c r="R194" s="20"/>
      <x:c r="S194" s="20"/>
      <x:c r="T194" s="20"/>
      <x:c r="U194" s="20"/>
      <x:c r="V194" s="20"/>
      <x:c r="W194" s="20"/>
      <x:c r="X194" s="20"/>
      <x:c r="Y194" s="20"/>
      <x:c r="Z194" s="20"/>
    </x:row>
    <x:row r="195">
      <x:c r="A195" s="20"/>
      <x:c r="B195" s="20"/>
      <x:c r="C195" s="20"/>
      <x:c r="D195" s="20"/>
      <x:c r="E195" s="20"/>
      <x:c r="F195" s="20"/>
      <x:c r="G195" s="20"/>
      <x:c r="H195" s="20"/>
      <x:c r="I195" s="20"/>
      <x:c r="J195" s="20"/>
      <x:c r="K195" s="20"/>
      <x:c r="L195" s="20"/>
      <x:c r="M195" s="20"/>
      <x:c r="N195" s="20"/>
      <x:c r="O195" s="20"/>
      <x:c r="P195" s="20"/>
      <x:c r="Q195" s="20"/>
      <x:c r="R195" s="20"/>
      <x:c r="S195" s="20"/>
      <x:c r="T195" s="20"/>
      <x:c r="U195" s="20"/>
      <x:c r="V195" s="20"/>
      <x:c r="W195" s="20"/>
      <x:c r="X195" s="20"/>
      <x:c r="Y195" s="20"/>
      <x:c r="Z195" s="20"/>
    </x:row>
    <x:row r="196">
      <x:c r="A196" s="20"/>
      <x:c r="B196" s="20"/>
      <x:c r="C196" s="20"/>
      <x:c r="D196" s="20"/>
      <x:c r="E196" s="20"/>
      <x:c r="F196" s="20"/>
      <x:c r="G196" s="20"/>
      <x:c r="H196" s="20"/>
      <x:c r="I196" s="20"/>
      <x:c r="J196" s="20"/>
      <x:c r="K196" s="20"/>
      <x:c r="L196" s="20"/>
      <x:c r="M196" s="20"/>
      <x:c r="N196" s="20"/>
      <x:c r="O196" s="20"/>
      <x:c r="P196" s="20"/>
      <x:c r="Q196" s="20"/>
      <x:c r="R196" s="20"/>
      <x:c r="S196" s="20"/>
      <x:c r="T196" s="20"/>
      <x:c r="U196" s="20"/>
      <x:c r="V196" s="20"/>
      <x:c r="W196" s="20"/>
      <x:c r="X196" s="20"/>
      <x:c r="Y196" s="20"/>
      <x:c r="Z196" s="20"/>
    </x:row>
    <x:row r="197">
      <x:c r="A197" s="20"/>
      <x:c r="B197" s="20"/>
      <x:c r="C197" s="20"/>
      <x:c r="D197" s="20"/>
      <x:c r="E197" s="20"/>
      <x:c r="F197" s="20"/>
      <x:c r="G197" s="20"/>
      <x:c r="H197" s="20"/>
      <x:c r="I197" s="20"/>
      <x:c r="J197" s="20"/>
      <x:c r="K197" s="20"/>
      <x:c r="L197" s="20"/>
      <x:c r="M197" s="20"/>
      <x:c r="N197" s="20"/>
      <x:c r="O197" s="20"/>
      <x:c r="P197" s="20"/>
      <x:c r="Q197" s="20"/>
      <x:c r="R197" s="20"/>
      <x:c r="S197" s="20"/>
      <x:c r="T197" s="20"/>
      <x:c r="U197" s="20"/>
      <x:c r="V197" s="20"/>
      <x:c r="W197" s="20"/>
      <x:c r="X197" s="20"/>
      <x:c r="Y197" s="20"/>
      <x:c r="Z197" s="20"/>
    </x:row>
    <x:row r="198">
      <x:c r="A198" s="20"/>
      <x:c r="B198" s="20"/>
      <x:c r="C198" s="20"/>
      <x:c r="D198" s="20"/>
      <x:c r="E198" s="20"/>
      <x:c r="F198" s="20"/>
      <x:c r="G198" s="20"/>
      <x:c r="H198" s="20"/>
      <x:c r="I198" s="20"/>
      <x:c r="J198" s="20"/>
      <x:c r="K198" s="20"/>
      <x:c r="L198" s="20"/>
      <x:c r="M198" s="20"/>
      <x:c r="N198" s="20"/>
      <x:c r="O198" s="20"/>
      <x:c r="P198" s="20"/>
      <x:c r="Q198" s="20"/>
      <x:c r="R198" s="20"/>
      <x:c r="S198" s="20"/>
      <x:c r="T198" s="20"/>
      <x:c r="U198" s="20"/>
      <x:c r="V198" s="20"/>
      <x:c r="W198" s="20"/>
      <x:c r="X198" s="20"/>
      <x:c r="Y198" s="20"/>
      <x:c r="Z198" s="20"/>
    </x:row>
    <x:row r="199">
      <x:c r="A199" s="20"/>
      <x:c r="B199" s="20"/>
      <x:c r="C199" s="20"/>
      <x:c r="D199" s="20"/>
      <x:c r="E199" s="20"/>
      <x:c r="F199" s="20"/>
      <x:c r="G199" s="20"/>
      <x:c r="H199" s="20"/>
      <x:c r="I199" s="20"/>
      <x:c r="J199" s="20"/>
      <x:c r="K199" s="20"/>
      <x:c r="L199" s="20"/>
      <x:c r="M199" s="20"/>
      <x:c r="N199" s="20"/>
      <x:c r="O199" s="20"/>
      <x:c r="P199" s="20"/>
      <x:c r="Q199" s="20"/>
      <x:c r="R199" s="20"/>
      <x:c r="S199" s="20"/>
      <x:c r="T199" s="20"/>
      <x:c r="U199" s="20"/>
      <x:c r="V199" s="20"/>
      <x:c r="W199" s="20"/>
      <x:c r="X199" s="20"/>
      <x:c r="Y199" s="20"/>
      <x:c r="Z199" s="20"/>
    </x:row>
    <x:row r="200">
      <x:c r="A200" s="20"/>
      <x:c r="B200" s="20"/>
      <x:c r="C200" s="20"/>
      <x:c r="D200" s="20"/>
      <x:c r="E200" s="20"/>
      <x:c r="F200" s="20"/>
      <x:c r="G200" s="20"/>
      <x:c r="H200" s="20"/>
      <x:c r="I200" s="20"/>
      <x:c r="J200" s="20"/>
      <x:c r="K200" s="20"/>
      <x:c r="L200" s="20"/>
      <x:c r="M200" s="20"/>
      <x:c r="N200" s="20"/>
      <x:c r="O200" s="20"/>
      <x:c r="P200" s="20"/>
      <x:c r="Q200" s="20"/>
      <x:c r="R200" s="20"/>
      <x:c r="S200" s="20"/>
      <x:c r="T200" s="20"/>
      <x:c r="U200" s="20"/>
      <x:c r="V200" s="20"/>
      <x:c r="W200" s="20"/>
      <x:c r="X200" s="20"/>
      <x:c r="Y200" s="20"/>
      <x:c r="Z200" s="20"/>
    </x:row>
  </x:sheetData>
  <x:pageMargins left="0.7" right="0.7" top="0.75" bottom="0.75" header="0.3" footer="0.3"/>
  <x:tableParts count="1">
    <x:tablePart xmlns:r="http://schemas.openxmlformats.org/officeDocument/2006/relationships" r:id="R244756b78f2d4e7e"/>
  </x:tableParts>
</x:worksheet>
</file>

<file path=xl/worksheets/sheet8.xml><?xml version="1.0" encoding="utf-8"?>
<x:worksheet xmlns:x="http://schemas.openxmlformats.org/spreadsheetml/2006/main">
  <x:sheetFormatPr defaultRowHeight="15"/>
  <x:cols>
    <x:col min="1" max="1" width="13"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4" hidden="0" customWidth="1"/>
    <x:col min="12" max="12" width="13" hidden="0" customWidth="1"/>
    <x:col min="13" max="13" width="19" hidden="0" customWidth="1"/>
    <x:col min="14" max="14" width="20" hidden="0" customWidth="1"/>
  </x:cols>
  <x:sheetData>
    <x:row r="1">
      <x:c r="A1" s="38" t="str">
        <x:v>Month</x:v>
      </x:c>
      <x:c r="B1" s="38" t="str">
        <x:v>MSRP (Jan-2019=100)</x:v>
      </x:c>
      <x:c r="C1" s="38" t="str">
        <x:v>Thermoplastic Plastics / Resin</x:v>
      </x:c>
      <x:c r="D1" s="38" t="str">
        <x:v>Tooling / Dies</x:v>
      </x:c>
      <x:c r="E1" s="38" t="str">
        <x:v>Paints</x:v>
      </x:c>
      <x:c r="F1" s="38" t="str">
        <x:v>Printing Ink</x:v>
      </x:c>
      <x:c r="G1" s="38" t="str">
        <x:v>Adhesives</x:v>
      </x:c>
      <x:c r="H1" s="38" t="str">
        <x:v>Paperboard Packaging</x:v>
      </x:c>
      <x:c r="I1" s="38" t="str">
        <x:v>Corrugated Cartons</x:v>
      </x:c>
      <x:c r="J1" s="38" t="str">
        <x:v>USD/CNY</x:v>
      </x:c>
      <x:c r="K1" s="38" t="str">
        <x:v>MSRP Status</x:v>
      </x:c>
      <x:c r="L1" s="49" t="str">
        <x:v>Chart Month Label</x:v>
      </x:c>
      <x:c r="M1" t="str">
        <x:v>Deep Sea Freight PPI</x:v>
      </x:c>
      <x:c r="N1" s="20" t="str">
        <x:v>Packaging Composite</x:v>
      </x:c>
    </x:row>
    <x:row r="2">
      <x:c r="A2" s="21" t="n">
        <x:f>'Monthly Master'!A2</x:f>
        <x:v>43466</x:v>
      </x:c>
      <x:c r="B2" s="40" t="n">
        <x:f>'Monthly Master'!B2/'Monthly Master'!$B$2*100</x:f>
        <x:v>100</x:v>
      </x:c>
      <x:c r="C2" s="40" t="n">
        <x:f>'Monthly Master'!D2/'Monthly Master'!$D$2*100</x:f>
        <x:v>100</x:v>
      </x:c>
      <x:c r="D2" s="40" t="n">
        <x:f>'Monthly Master'!E2/'Monthly Master'!$E$2*100</x:f>
        <x:v>100</x:v>
      </x:c>
      <x:c r="E2" s="40" t="n">
        <x:f>'Monthly Master'!F2/'Monthly Master'!$F$2*100</x:f>
        <x:v>100</x:v>
      </x:c>
      <x:c r="F2" s="40" t="n">
        <x:f>'Monthly Master'!G2/'Monthly Master'!$G$2*100</x:f>
        <x:v>100</x:v>
      </x:c>
      <x:c r="G2" s="40" t="n">
        <x:f>'Monthly Master'!H2/'Monthly Master'!$H$2*100</x:f>
        <x:v>100</x:v>
      </x:c>
      <x:c r="H2" s="40" t="n">
        <x:f>'Monthly Master'!I2/'Monthly Master'!$I$2*100</x:f>
        <x:v>100</x:v>
      </x:c>
      <x:c r="I2" s="40" t="n">
        <x:f>'Monthly Master'!J2/'Monthly Master'!$J$2*100</x:f>
        <x:v>100</x:v>
      </x:c>
      <x:c r="J2" s="40" t="n">
        <x:f>'Monthly Master'!K2/'Monthly Master'!$K$2*100</x:f>
        <x:v>100</x:v>
      </x:c>
      <x:c r="K2" s="20" t="str">
        <x:f>'Monthly Master'!C2</x:f>
        <x:v>Validated retail regime</x:v>
      </x:c>
      <x:c r="L2" t="str">
        <x:f>TEXT(A2,"mmm-yy")</x:f>
        <x:v>Jan-19</x:v>
      </x:c>
      <x:c r="M2" s="39" t="n">
        <x:f>'Monthly Master'!L2/'Monthly Master'!$L$2*100</x:f>
        <x:v>100</x:v>
      </x:c>
      <x:c r="N2" s="40" t="n">
        <x:v>100</x:v>
      </x:c>
    </x:row>
    <x:row r="3">
      <x:c r="A3" s="21" t="n">
        <x:f>'Monthly Master'!A3</x:f>
        <x:v>43497</x:v>
      </x:c>
      <x:c r="B3" s="40" t="n">
        <x:f>'Monthly Master'!B3/'Monthly Master'!$B$2*100</x:f>
        <x:v>100</x:v>
      </x:c>
      <x:c r="C3" s="40" t="n">
        <x:f>'Monthly Master'!D3/'Monthly Master'!$D$2*100</x:f>
        <x:v>97.26775956284153</x:v>
      </x:c>
      <x:c r="D3" s="40" t="n">
        <x:f>'Monthly Master'!E3/'Monthly Master'!$E$2*100</x:f>
        <x:v>100</x:v>
      </x:c>
      <x:c r="E3" s="40" t="n">
        <x:f>'Monthly Master'!F3/'Monthly Master'!$F$2*100</x:f>
        <x:v>100.3114186851211</x:v>
      </x:c>
      <x:c r="F3" s="40" t="n">
        <x:f>'Monthly Master'!G3/'Monthly Master'!$G$2*100</x:f>
        <x:v>100.23180343069077</x:v>
      </x:c>
      <x:c r="G3" s="40" t="n">
        <x:f>'Monthly Master'!H3/'Monthly Master'!$H$2*100</x:f>
        <x:v>99.96239187664537</x:v>
      </x:c>
      <x:c r="H3" s="40" t="n">
        <x:f>'Monthly Master'!I3/'Monthly Master'!$I$2*100</x:f>
        <x:v>100.45207956600362</x:v>
      </x:c>
      <x:c r="I3" s="40" t="n">
        <x:f>'Monthly Master'!J3/'Monthly Master'!$J$2*100</x:f>
        <x:v>99.88933972703798</x:v>
      </x:c>
      <x:c r="J3" s="40" t="n">
        <x:f>'Monthly Master'!K3/'Monthly Master'!$K$2*100</x:f>
        <x:v>99.26911571843273</x:v>
      </x:c>
      <x:c r="K3" s="20" t="str">
        <x:f>'Monthly Master'!C3</x:f>
        <x:v>Validated retail regime</x:v>
      </x:c>
      <x:c r="L3" t="str">
        <x:f>TEXT(A3,"mmm-yy")</x:f>
        <x:v>Feb-19</x:v>
      </x:c>
      <x:c r="M3" s="39" t="n">
        <x:f>'Monthly Master'!L3/'Monthly Master'!$L$2*100</x:f>
        <x:v>99.77213541666667</x:v>
      </x:c>
      <x:c r="N3" s="40" t="n">
        <x:v>100.13390365009444</x:v>
      </x:c>
    </x:row>
    <x:row r="4">
      <x:c r="A4" s="21" t="n">
        <x:f>'Monthly Master'!A4</x:f>
        <x:v>43525</x:v>
      </x:c>
      <x:c r="B4" s="40" t="n">
        <x:f>'Monthly Master'!B4/'Monthly Master'!$B$2*100</x:f>
        <x:v>100</x:v>
      </x:c>
      <x:c r="C4" s="40" t="n">
        <x:f>'Monthly Master'!D4/'Monthly Master'!$D$2*100</x:f>
        <x:v>95.41824295922656</x:v>
      </x:c>
      <x:c r="D4" s="40" t="n">
        <x:f>'Monthly Master'!E4/'Monthly Master'!$E$2*100</x:f>
        <x:v>100</x:v>
      </x:c>
      <x:c r="E4" s="40" t="n">
        <x:f>'Monthly Master'!F4/'Monthly Master'!$F$2*100</x:f>
        <x:v>100.06920415224914</x:v>
      </x:c>
      <x:c r="F4" s="40" t="n">
        <x:f>'Monthly Master'!G4/'Monthly Master'!$G$2*100</x:f>
        <x:v>100.27816411682895</x:v>
      </x:c>
      <x:c r="G4" s="40" t="n">
        <x:f>'Monthly Master'!H4/'Monthly Master'!$H$2*100</x:f>
        <x:v>100.26325686348252</x:v>
      </x:c>
      <x:c r="H4" s="40" t="n">
        <x:f>'Monthly Master'!I4/'Monthly Master'!$I$2*100</x:f>
        <x:v>102.62206148282098</x:v>
      </x:c>
      <x:c r="I4" s="40" t="n">
        <x:f>'Monthly Master'!J4/'Monthly Master'!$J$2*100</x:f>
        <x:v>99.85245296938398</x:v>
      </x:c>
      <x:c r="J4" s="40" t="n">
        <x:f>'Monthly Master'!K4/'Monthly Master'!$K$2*100</x:f>
        <x:v>98.90367357764909</x:v>
      </x:c>
      <x:c r="K4" s="20" t="str">
        <x:f>'Monthly Master'!C4</x:f>
        <x:v>Validated retail regime</x:v>
      </x:c>
      <x:c r="L4" t="str">
        <x:f>TEXT(A4,"mmm-yy")</x:f>
        <x:v>Mar-19</x:v>
      </x:c>
      <x:c r="M4" s="39" t="n">
        <x:f>'Monthly Master'!L4/'Monthly Master'!$L$2*100</x:f>
        <x:v>100.32552083333333</x:v>
      </x:c>
      <x:c r="N4" s="40" t="n">
        <x:v>100.7539838581291</x:v>
      </x:c>
    </x:row>
    <x:row r="5">
      <x:c r="A5" s="21" t="n">
        <x:f>'Monthly Master'!A5</x:f>
        <x:v>43556</x:v>
      </x:c>
      <x:c r="B5" s="40" t="n">
        <x:f>'Monthly Master'!B5/'Monthly Master'!$B$2*100</x:f>
        <x:v>100</x:v>
      </x:c>
      <x:c r="C5" s="40" t="n">
        <x:f>'Monthly Master'!D5/'Monthly Master'!$D$2*100</x:f>
        <x:v>94.49348465741909</x:v>
      </x:c>
      <x:c r="D5" s="40" t="n">
        <x:f>'Monthly Master'!E5/'Monthly Master'!$E$2*100</x:f>
        <x:v>100</x:v>
      </x:c>
      <x:c r="E5" s="40" t="n">
        <x:f>'Monthly Master'!F5/'Monthly Master'!$F$2*100</x:f>
        <x:v>100.34602076124568</x:v>
      </x:c>
      <x:c r="F5" s="40" t="n">
        <x:f>'Monthly Master'!G5/'Monthly Master'!$G$2*100</x:f>
        <x:v>100.41724617524339</x:v>
      </x:c>
      <x:c r="G5" s="40" t="n">
        <x:f>'Monthly Master'!H5/'Monthly Master'!$H$2*100</x:f>
        <x:v>100.41368935690109</x:v>
      </x:c>
      <x:c r="H5" s="40" t="n">
        <x:f>'Monthly Master'!I5/'Monthly Master'!$I$2*100</x:f>
        <x:v>101.35623869801084</x:v>
      </x:c>
      <x:c r="I5" s="40" t="n">
        <x:f>'Monthly Master'!J5/'Monthly Master'!$J$2*100</x:f>
        <x:v>99.85245296938398</x:v>
      </x:c>
      <x:c r="J5" s="40" t="n">
        <x:f>'Monthly Master'!K5/'Monthly Master'!$K$2*100</x:f>
        <x:v>98.96556297245922</x:v>
      </x:c>
      <x:c r="K5" s="20" t="str">
        <x:f>'Monthly Master'!C5</x:f>
        <x:v>Validated retail regime</x:v>
      </x:c>
      <x:c r="L5" t="str">
        <x:f>TEXT(A5,"mmm-yy")</x:f>
        <x:v>Apr-19</x:v>
      </x:c>
      <x:c r="M5" s="39" t="n">
        <x:f>'Monthly Master'!L5/'Monthly Master'!$L$2*100</x:f>
        <x:v>100.74869791666667</x:v>
      </x:c>
      <x:c r="N5" s="40" t="n">
        <x:v>100.50990679988482</x:v>
      </x:c>
    </x:row>
    <x:row r="6">
      <x:c r="A6" s="21" t="n">
        <x:f>'Monthly Master'!A6</x:f>
        <x:v>43586</x:v>
      </x:c>
      <x:c r="B6" s="40" t="n">
        <x:f>'Monthly Master'!B6/'Monthly Master'!$B$2*100</x:f>
        <x:v>100</x:v>
      </x:c>
      <x:c r="C6" s="40" t="n">
        <x:f>'Monthly Master'!D6/'Monthly Master'!$D$2*100</x:f>
        <x:v>95.75451870533837</x:v>
      </x:c>
      <x:c r="D6" s="40" t="n">
        <x:f>'Monthly Master'!E6/'Monthly Master'!$E$2*100</x:f>
        <x:v>100.05208333333333</x:v>
      </x:c>
      <x:c r="E6" s="40" t="n">
        <x:f>'Monthly Master'!F6/'Monthly Master'!$F$2*100</x:f>
        <x:v>101.45328719723183</x:v>
      </x:c>
      <x:c r="F6" s="40" t="n">
        <x:f>'Monthly Master'!G6/'Monthly Master'!$G$2*100</x:f>
        <x:v>100.46360686138154</x:v>
      </x:c>
      <x:c r="G6" s="40" t="n">
        <x:f>'Monthly Master'!H6/'Monthly Master'!$H$2*100</x:f>
        <x:v>100.45129748025576</x:v>
      </x:c>
      <x:c r="H6" s="40" t="n">
        <x:f>'Monthly Master'!I6/'Monthly Master'!$I$2*100</x:f>
        <x:v>101.5370705244123</x:v>
      </x:c>
      <x:c r="I6" s="40" t="n">
        <x:f>'Monthly Master'!J6/'Monthly Master'!$J$2*100</x:f>
        <x:v>99.85245296938398</x:v>
      </x:c>
      <x:c r="J6" s="40" t="n">
        <x:f>'Monthly Master'!K6/'Monthly Master'!$K$2*100</x:f>
        <x:v>100.9666534046535</x:v>
      </x:c>
      <x:c r="K6" s="20" t="str">
        <x:f>'Monthly Master'!C6</x:f>
        <x:v>Validated retail regime</x:v>
      </x:c>
      <x:c r="L6" t="str">
        <x:f>TEXT(A6,"mmm-yy")</x:f>
        <x:v>May-19</x:v>
      </x:c>
      <x:c r="M6" s="39" t="n">
        <x:f>'Monthly Master'!L6/'Monthly Master'!$L$2*100</x:f>
        <x:v>100.9765625</x:v>
      </x:c>
      <x:c r="N6" s="40" t="n">
        <x:v>100.57610695885839</x:v>
      </x:c>
    </x:row>
    <x:row r="7">
      <x:c r="A7" s="21" t="n">
        <x:f>'Monthly Master'!A7</x:f>
        <x:v>43617</x:v>
      </x:c>
      <x:c r="B7" s="40" t="n">
        <x:f>'Monthly Master'!B7/'Monthly Master'!$B$2*100</x:f>
        <x:v>100</x:v>
      </x:c>
      <x:c r="C7" s="40" t="n">
        <x:f>'Monthly Master'!D7/'Monthly Master'!$D$2*100</x:f>
        <x:v>94.19924337957124</x:v>
      </x:c>
      <x:c r="D7" s="40" t="n">
        <x:f>'Monthly Master'!E7/'Monthly Master'!$E$2*100</x:f>
        <x:v>100.05208333333333</x:v>
      </x:c>
      <x:c r="E7" s="40" t="n">
        <x:f>'Monthly Master'!F7/'Monthly Master'!$F$2*100</x:f>
        <x:v>101.41868512110727</x:v>
      </x:c>
      <x:c r="F7" s="40" t="n">
        <x:f>'Monthly Master'!G7/'Monthly Master'!$G$2*100</x:f>
        <x:v>100.46360686138154</x:v>
      </x:c>
      <x:c r="G7" s="40" t="n">
        <x:f>'Monthly Master'!H7/'Monthly Master'!$H$2*100</x:f>
        <x:v>100.33847311019181</x:v>
      </x:c>
      <x:c r="H7" s="40" t="n">
        <x:f>'Monthly Master'!I7/'Monthly Master'!$I$2*100</x:f>
        <x:v>102.89330922242314</x:v>
      </x:c>
      <x:c r="I7" s="40" t="n">
        <x:f>'Monthly Master'!J7/'Monthly Master'!$J$2*100</x:f>
        <x:v>99.77867945407598</x:v>
      </x:c>
      <x:c r="J7" s="40" t="n">
        <x:f>'Monthly Master'!K7/'Monthly Master'!$K$2*100</x:f>
        <x:v>101.6415425194878</x:v>
      </x:c>
      <x:c r="K7" s="20" t="str">
        <x:f>'Monthly Master'!C7</x:f>
        <x:v>Validated retail regime</x:v>
      </x:c>
      <x:c r="L7" t="str">
        <x:f>TEXT(A7,"mmm-yy")</x:f>
        <x:v>Jun-19</x:v>
      </x:c>
      <x:c r="M7" s="39" t="n">
        <x:f>'Monthly Master'!L7/'Monthly Master'!$L$2*100</x:f>
        <x:v>100.68359375</x:v>
      </x:c>
      <x:c r="N7" s="40" t="n">
        <x:v>100.86851716201812</x:v>
      </x:c>
    </x:row>
    <x:row r="8">
      <x:c r="A8" s="21" t="n">
        <x:f>'Monthly Master'!A8</x:f>
        <x:v>43647</x:v>
      </x:c>
      <x:c r="B8" s="40" t="n">
        <x:f>'Monthly Master'!B8/'Monthly Master'!$B$2*100</x:f>
        <x:v>100</x:v>
      </x:c>
      <x:c r="C8" s="40" t="n">
        <x:f>'Monthly Master'!D8/'Monthly Master'!$D$2*100</x:f>
        <x:v>94.03110550651533</x:v>
      </x:c>
      <x:c r="D8" s="40" t="n">
        <x:f>'Monthly Master'!E8/'Monthly Master'!$E$2*100</x:f>
        <x:v>100.05208333333333</x:v>
      </x:c>
      <x:c r="E8" s="40" t="n">
        <x:f>'Monthly Master'!F8/'Monthly Master'!$F$2*100</x:f>
        <x:v>102.52595155709344</x:v>
      </x:c>
      <x:c r="F8" s="40" t="n">
        <x:f>'Monthly Master'!G8/'Monthly Master'!$G$2*100</x:f>
        <x:v>100.50996754751971</x:v>
      </x:c>
      <x:c r="G8" s="40" t="n">
        <x:f>'Monthly Master'!H8/'Monthly Master'!$H$2*100</x:f>
        <x:v>100.45129748025576</x:v>
      </x:c>
      <x:c r="H8" s="40" t="n">
        <x:f>'Monthly Master'!I8/'Monthly Master'!$I$2*100</x:f>
        <x:v>103.16455696202532</x:v>
      </x:c>
      <x:c r="I8" s="40" t="n">
        <x:f>'Monthly Master'!J8/'Monthly Master'!$J$2*100</x:f>
        <x:v>99.15160457395794</x:v>
      </x:c>
      <x:c r="J8" s="40" t="n">
        <x:f>'Monthly Master'!K8/'Monthly Master'!$K$2*100</x:f>
        <x:v>101.34388400159145</x:v>
      </x:c>
      <x:c r="K8" s="20" t="str">
        <x:f>'Monthly Master'!C8</x:f>
        <x:v>Validated retail regime</x:v>
      </x:c>
      <x:c r="L8" t="str">
        <x:f>TEXT(A8,"mmm-yy")</x:f>
        <x:v>Jul-19</x:v>
      </x:c>
      <x:c r="M8" s="39" t="n">
        <x:f>'Monthly Master'!L8/'Monthly Master'!$L$2*100</x:f>
        <x:v>102.11588541666667</x:v>
      </x:c>
      <x:c r="N8" s="40" t="n">
        <x:v>100.81935664093967</x:v>
      </x:c>
    </x:row>
    <x:row r="9">
      <x:c r="A9" s="21" t="n">
        <x:f>'Monthly Master'!A9</x:f>
        <x:v>43678</x:v>
      </x:c>
      <x:c r="B9" s="40" t="n">
        <x:f>'Monthly Master'!B9/'Monthly Master'!$B$2*100</x:f>
        <x:v>100</x:v>
      </x:c>
      <x:c r="C9" s="40" t="n">
        <x:f>'Monthly Master'!D9/'Monthly Master'!$D$2*100</x:f>
        <x:v>94.19924337957124</x:v>
      </x:c>
      <x:c r="D9" s="40" t="n">
        <x:f>'Monthly Master'!E9/'Monthly Master'!$E$2*100</x:f>
        <x:v>100.05208333333333</x:v>
      </x:c>
      <x:c r="E9" s="40" t="n">
        <x:f>'Monthly Master'!F9/'Monthly Master'!$F$2*100</x:f>
        <x:v>101.76470588235296</x:v>
      </x:c>
      <x:c r="F9" s="40" t="n">
        <x:f>'Monthly Master'!G9/'Monthly Master'!$G$2*100</x:f>
        <x:v>101.01993509503941</x:v>
      </x:c>
      <x:c r="G9" s="40" t="n">
        <x:f>'Monthly Master'!H9/'Monthly Master'!$H$2*100</x:f>
        <x:v>100.56412185031967</x:v>
      </x:c>
      <x:c r="H9" s="40" t="n">
        <x:f>'Monthly Master'!I9/'Monthly Master'!$I$2*100</x:f>
        <x:v>102.98372513562389</x:v>
      </x:c>
      <x:c r="I9" s="40" t="n">
        <x:f>'Monthly Master'!J9/'Monthly Master'!$J$2*100</x:f>
        <x:v>99.22537808926594</x:v>
      </x:c>
      <x:c r="J9" s="40" t="n">
        <x:f>'Monthly Master'!K9/'Monthly Master'!$K$2*100</x:f>
        <x:v>104.075858715353</x:v>
      </x:c>
      <x:c r="K9" s="20" t="str">
        <x:f>'Monthly Master'!C9</x:f>
        <x:v>Validated retail regime</x:v>
      </x:c>
      <x:c r="L9" t="str">
        <x:f>TEXT(A9,"mmm-yy")</x:f>
        <x:v>Aug-19</x:v>
      </x:c>
      <x:c r="M9" s="39" t="n">
        <x:f>'Monthly Master'!L9/'Monthly Master'!$L$2*100</x:f>
        <x:v>99.0234375</x:v>
      </x:c>
      <x:c r="N9" s="40" t="n">
        <x:v>100.94829004256223</x:v>
      </x:c>
    </x:row>
    <x:row r="10">
      <x:c r="A10" s="21" t="n">
        <x:f>'Monthly Master'!A10</x:f>
        <x:v>43709</x:v>
      </x:c>
      <x:c r="B10" s="40" t="n">
        <x:f>'Monthly Master'!B10/'Monthly Master'!$B$2*100</x:f>
        <x:v>100</x:v>
      </x:c>
      <x:c r="C10" s="40" t="n">
        <x:f>'Monthly Master'!D10/'Monthly Master'!$D$2*100</x:f>
        <x:v>94.11517444304329</x:v>
      </x:c>
      <x:c r="D10" s="40" t="n">
        <x:f>'Monthly Master'!E10/'Monthly Master'!$E$2*100</x:f>
        <x:v>100.05208333333333</x:v>
      </x:c>
      <x:c r="E10" s="40" t="n">
        <x:f>'Monthly Master'!F10/'Monthly Master'!$F$2*100</x:f>
        <x:v>102.17993079584775</x:v>
      </x:c>
      <x:c r="F10" s="40" t="n">
        <x:f>'Monthly Master'!G10/'Monthly Master'!$G$2*100</x:f>
        <x:v>101.1126564673157</x:v>
      </x:c>
      <x:c r="G10" s="40" t="n">
        <x:f>'Monthly Master'!H10/'Monthly Master'!$H$2*100</x:f>
        <x:v>100.48890560361039</x:v>
      </x:c>
      <x:c r="H10" s="40" t="n">
        <x:f>'Monthly Master'!I10/'Monthly Master'!$I$2*100</x:f>
        <x:v>103.25497287522604</x:v>
      </x:c>
      <x:c r="I10" s="40" t="n">
        <x:f>'Monthly Master'!J10/'Monthly Master'!$J$2*100</x:f>
        <x:v>99.07783105864995</x:v>
      </x:c>
      <x:c r="J10" s="40" t="n">
        <x:f>'Monthly Master'!K10/'Monthly Master'!$K$2*100</x:f>
        <x:v>104.82442568115174</x:v>
      </x:c>
      <x:c r="K10" s="20" t="str">
        <x:f>'Monthly Master'!C10</x:f>
        <x:v>Validated retail regime</x:v>
      </x:c>
      <x:c r="L10" t="str">
        <x:f>TEXT(A10,"mmm-yy")</x:f>
        <x:v>Sep-19</x:v>
      </x:c>
      <x:c r="M10" s="39" t="n">
        <x:f>'Monthly Master'!L10/'Monthly Master'!$L$2*100</x:f>
        <x:v>99.28385416666667</x:v>
      </x:c>
      <x:c r="N10" s="40" t="n">
        <x:v>100.98359150120052</x:v>
      </x:c>
    </x:row>
    <x:row r="11">
      <x:c r="A11" s="21" t="n">
        <x:f>'Monthly Master'!A11</x:f>
        <x:v>43739</x:v>
      </x:c>
      <x:c r="B11" s="40" t="n">
        <x:f>'Monthly Master'!B11/'Monthly Master'!$B$2*100</x:f>
        <x:v>100</x:v>
      </x:c>
      <x:c r="C11" s="40" t="n">
        <x:f>'Monthly Master'!D11/'Monthly Master'!$D$2*100</x:f>
        <x:v>94.4514501891551</x:v>
      </x:c>
      <x:c r="D11" s="40" t="n">
        <x:f>'Monthly Master'!E11/'Monthly Master'!$E$2*100</x:f>
        <x:v>99.94791666666667</x:v>
      </x:c>
      <x:c r="E11" s="40" t="n">
        <x:f>'Monthly Master'!F11/'Monthly Master'!$F$2*100</x:f>
        <x:v>102.11072664359861</x:v>
      </x:c>
      <x:c r="F11" s="40" t="n">
        <x:f>'Monthly Master'!G11/'Monthly Master'!$G$2*100</x:f>
        <x:v>101.01993509503941</x:v>
      </x:c>
      <x:c r="G11" s="40" t="n">
        <x:f>'Monthly Master'!H11/'Monthly Master'!$H$2*100</x:f>
        <x:v>100.52651372696504</x:v>
      </x:c>
      <x:c r="H11" s="40" t="n">
        <x:f>'Monthly Master'!I11/'Monthly Master'!$I$2*100</x:f>
        <x:v>103.0741410488246</x:v>
      </x:c>
      <x:c r="I11" s="40" t="n">
        <x:f>'Monthly Master'!J11/'Monthly Master'!$J$2*100</x:f>
        <x:v>98.52452969383991</x:v>
      </x:c>
      <x:c r="J11" s="40" t="n">
        <x:f>'Monthly Master'!K11/'Monthly Master'!$K$2*100</x:f>
        <x:v>104.5650796457569</x:v>
      </x:c>
      <x:c r="K11" s="20" t="str">
        <x:f>'Monthly Master'!C11</x:f>
        <x:v>Validated retail regime</x:v>
      </x:c>
      <x:c r="L11" t="str">
        <x:f>TEXT(A11,"mmm-yy")</x:f>
        <x:v>Oct-19</x:v>
      </x:c>
      <x:c r="M11" s="39" t="n">
        <x:f>'Monthly Master'!L11/'Monthly Master'!$L$2*100</x:f>
        <x:v>98.60026041666666</x:v>
      </x:c>
      <x:c r="N11" s="40" t="n">
        <x:v>100.78627989116724</x:v>
      </x:c>
    </x:row>
    <x:row r="12">
      <x:c r="A12" s="21" t="n">
        <x:f>'Monthly Master'!A12</x:f>
        <x:v>43770</x:v>
      </x:c>
      <x:c r="B12" s="40" t="n">
        <x:f>'Monthly Master'!B12/'Monthly Master'!$B$2*100</x:f>
        <x:v>100</x:v>
      </x:c>
      <x:c r="C12" s="40" t="n">
        <x:f>'Monthly Master'!D12/'Monthly Master'!$D$2*100</x:f>
        <x:v>93.14838167297184</x:v>
      </x:c>
      <x:c r="D12" s="40" t="n">
        <x:f>'Monthly Master'!E12/'Monthly Master'!$E$2*100</x:f>
        <x:v>99.94791666666667</x:v>
      </x:c>
      <x:c r="E12" s="40" t="n">
        <x:f>'Monthly Master'!F12/'Monthly Master'!$F$2*100</x:f>
        <x:v>102.11072664359861</x:v>
      </x:c>
      <x:c r="F12" s="40" t="n">
        <x:f>'Monthly Master'!G12/'Monthly Master'!$G$2*100</x:f>
        <x:v>101.01993509503941</x:v>
      </x:c>
      <x:c r="G12" s="40" t="n">
        <x:f>'Monthly Master'!H12/'Monthly Master'!$H$2*100</x:f>
        <x:v>100.56412185031967</x:v>
      </x:c>
      <x:c r="H12" s="40" t="n">
        <x:f>'Monthly Master'!I12/'Monthly Master'!$I$2*100</x:f>
        <x:v>103.34538878842676</x:v>
      </x:c>
      <x:c r="I12" s="40" t="n">
        <x:f>'Monthly Master'!J12/'Monthly Master'!$J$2*100</x:f>
        <x:v>98.4876429361859</x:v>
      </x:c>
      <x:c r="J12" s="40" t="n">
        <x:f>'Monthly Master'!K12/'Monthly Master'!$K$2*100</x:f>
        <x:v>103.4422291970588</x:v>
      </x:c>
      <x:c r="K12" s="20" t="str">
        <x:f>'Monthly Master'!C12</x:f>
        <x:v>Validated retail regime</x:v>
      </x:c>
      <x:c r="L12" t="str">
        <x:f>TEXT(A12,"mmm-yy")</x:f>
        <x:v>Nov-19</x:v>
      </x:c>
      <x:c r="M12" s="39" t="n">
        <x:f>'Monthly Master'!L12/'Monthly Master'!$L$2*100</x:f>
        <x:v>103.15755208333333</x:v>
      </x:c>
      <x:c r="N12" s="40" t="n">
        <x:v>100.85427216749294</x:v>
      </x:c>
    </x:row>
    <x:row r="13">
      <x:c r="A13" s="21" t="n">
        <x:f>'Monthly Master'!A13</x:f>
        <x:v>43800</x:v>
      </x:c>
      <x:c r="B13" s="40" t="n">
        <x:f>'Monthly Master'!B13/'Monthly Master'!$B$2*100</x:f>
        <x:v>100</x:v>
      </x:c>
      <x:c r="C13" s="40" t="n">
        <x:f>'Monthly Master'!D13/'Monthly Master'!$D$2*100</x:f>
        <x:v>91.00462379150903</x:v>
      </x:c>
      <x:c r="D13" s="40" t="n">
        <x:f>'Monthly Master'!E13/'Monthly Master'!$E$2*100</x:f>
        <x:v>98.75</x:v>
      </x:c>
      <x:c r="E13" s="40" t="n">
        <x:f>'Monthly Master'!F13/'Monthly Master'!$F$2*100</x:f>
        <x:v>102.11072664359861</x:v>
      </x:c>
      <x:c r="F13" s="40" t="n">
        <x:f>'Monthly Master'!G13/'Monthly Master'!$G$2*100</x:f>
        <x:v>101.1126564673157</x:v>
      </x:c>
      <x:c r="G13" s="40" t="n">
        <x:f>'Monthly Master'!H13/'Monthly Master'!$H$2*100</x:f>
        <x:v>100.56412185031967</x:v>
      </x:c>
      <x:c r="H13" s="40" t="n">
        <x:f>'Monthly Master'!I13/'Monthly Master'!$I$2*100</x:f>
        <x:v>103.34538878842676</x:v>
      </x:c>
      <x:c r="I13" s="40" t="n">
        <x:f>'Monthly Master'!J13/'Monthly Master'!$J$2*100</x:f>
        <x:v>98.52452969383991</x:v>
      </x:c>
      <x:c r="J13" s="40" t="n">
        <x:f>'Monthly Master'!K13/'Monthly Master'!$K$2*100</x:f>
        <x:v>103.35086866186288</x:v>
      </x:c>
      <x:c r="K13" s="20" t="str">
        <x:f>'Monthly Master'!C13</x:f>
        <x:v>Validated retail regime</x:v>
      </x:c>
      <x:c r="L13" t="str">
        <x:f>TEXT(A13,"mmm-yy")</x:f>
        <x:v>Dec-19</x:v>
      </x:c>
      <x:c r="M13" s="39" t="n">
        <x:f>'Monthly Master'!L13/'Monthly Master'!$L$2*100</x:f>
        <x:v>104.36197916666667</x:v>
      </x:c>
      <x:c r="N13" s="40" t="n">
        <x:v>100.88667419997552</x:v>
      </x:c>
    </x:row>
    <x:row r="14">
      <x:c r="A14" s="21" t="n">
        <x:f>'Monthly Master'!A14</x:f>
        <x:v>43831</x:v>
      </x:c>
      <x:c r="B14" s="40" t="n">
        <x:f>'Monthly Master'!B14/'Monthly Master'!$B$2*100</x:f>
        <x:v>100</x:v>
      </x:c>
      <x:c r="C14" s="40" t="n">
        <x:f>'Monthly Master'!D14/'Monthly Master'!$D$2*100</x:f>
        <x:v>90.7103825136612</x:v>
      </x:c>
      <x:c r="D14" s="40" t="n">
        <x:f>'Monthly Master'!E14/'Monthly Master'!$E$2*100</x:f>
        <x:v>98.75</x:v>
      </x:c>
      <x:c r="E14" s="40" t="n">
        <x:f>'Monthly Master'!F14/'Monthly Master'!$F$2*100</x:f>
        <x:v>102.49134948096885</x:v>
      </x:c>
      <x:c r="F14" s="40" t="n">
        <x:f>'Monthly Master'!G14/'Monthly Master'!$G$2*100</x:f>
        <x:v>100.41724617524339</x:v>
      </x:c>
      <x:c r="G14" s="40" t="n">
        <x:f>'Monthly Master'!H14/'Monthly Master'!$H$2*100</x:f>
        <x:v>101.165851823994</x:v>
      </x:c>
      <x:c r="H14" s="40" t="n">
        <x:f>'Monthly Master'!I14/'Monthly Master'!$I$2*100</x:f>
        <x:v>103.4358047016275</x:v>
      </x:c>
      <x:c r="I14" s="40" t="n">
        <x:f>'Monthly Master'!J14/'Monthly Master'!$J$2*100</x:f>
        <x:v>98.19254887495387</x:v>
      </x:c>
      <x:c r="J14" s="40" t="n">
        <x:f>'Monthly Master'!K14/'Monthly Master'!$K$2*100</x:f>
        <x:v>101.94656882248059</x:v>
      </x:c>
      <x:c r="K14" s="20" t="str">
        <x:f>'Monthly Master'!C14</x:f>
        <x:v>Validated retail regime</x:v>
      </x:c>
      <x:c r="L14" t="str">
        <x:f>TEXT(A14,"mmm-yy")</x:f>
        <x:v>Jan-20</x:v>
      </x:c>
      <x:c r="M14" s="39" t="n">
        <x:f>'Monthly Master'!L14/'Monthly Master'!$L$2*100</x:f>
        <x:v>104.42708333333334</x:v>
      </x:c>
      <x:c r="N14" s="40" t="n">
        <x:v>100.8028628939547</x:v>
      </x:c>
    </x:row>
    <x:row r="15">
      <x:c r="A15" s="21" t="n">
        <x:f>'Monthly Master'!A15</x:f>
        <x:v>43862</x:v>
      </x:c>
      <x:c r="B15" s="40" t="n">
        <x:f>'Monthly Master'!B15/'Monthly Master'!$B$2*100</x:f>
        <x:v>100</x:v>
      </x:c>
      <x:c r="C15" s="40" t="n">
        <x:f>'Monthly Master'!D15/'Monthly Master'!$D$2*100</x:f>
        <x:v>92.39176124422026</x:v>
      </x:c>
      <x:c r="D15" s="40" t="n">
        <x:f>'Monthly Master'!E15/'Monthly Master'!$E$2*100</x:f>
        <x:v>99.01041666666667</x:v>
      </x:c>
      <x:c r="E15" s="40" t="n">
        <x:f>'Monthly Master'!F15/'Monthly Master'!$F$2*100</x:f>
        <x:v>102.52595155709344</x:v>
      </x:c>
      <x:c r="F15" s="40" t="n">
        <x:f>'Monthly Master'!G15/'Monthly Master'!$G$2*100</x:f>
        <x:v>100.46360686138154</x:v>
      </x:c>
      <x:c r="G15" s="40" t="n">
        <x:f>'Monthly Master'!H15/'Monthly Master'!$H$2*100</x:f>
        <x:v>101.165851823994</x:v>
      </x:c>
      <x:c r="H15" s="40" t="n">
        <x:f>'Monthly Master'!I15/'Monthly Master'!$I$2*100</x:f>
        <x:v>103.97830018083182</x:v>
      </x:c>
      <x:c r="I15" s="40" t="n">
        <x:f>'Monthly Master'!J15/'Monthly Master'!$J$2*100</x:f>
        <x:v>97.97122832902988</x:v>
      </x:c>
      <x:c r="J15" s="40" t="n">
        <x:f>'Monthly Master'!K15/'Monthly Master'!$K$2*100</x:f>
        <x:v>103.10036396858375</x:v>
      </x:c>
      <x:c r="K15" s="20" t="str">
        <x:f>'Monthly Master'!C15</x:f>
        <x:v>Validated retail regime</x:v>
      </x:c>
      <x:c r="L15" t="str">
        <x:f>TEXT(A15,"mmm-yy")</x:f>
        <x:v>Feb-20</x:v>
      </x:c>
      <x:c r="M15" s="39" t="n">
        <x:f>'Monthly Master'!L15/'Monthly Master'!$L$2*100</x:f>
        <x:v>98.99088541666667</x:v>
      </x:c>
      <x:c r="N15" s="40" t="n">
        <x:v>100.89474679880931</x:v>
      </x:c>
    </x:row>
    <x:row r="16">
      <x:c r="A16" s="21" t="n">
        <x:f>'Monthly Master'!A16</x:f>
        <x:v>43891</x:v>
      </x:c>
      <x:c r="B16" s="40" t="n">
        <x:f>'Monthly Master'!B16/'Monthly Master'!$B$2*100</x:f>
        <x:v>100</x:v>
      </x:c>
      <x:c r="C16" s="40" t="n">
        <x:f>'Monthly Master'!D16/'Monthly Master'!$D$2*100</x:f>
        <x:v>92.1395544346364</x:v>
      </x:c>
      <x:c r="D16" s="40" t="n">
        <x:f>'Monthly Master'!E16/'Monthly Master'!$E$2*100</x:f>
        <x:v>99.01041666666667</x:v>
      </x:c>
      <x:c r="E16" s="40" t="n">
        <x:f>'Monthly Master'!F16/'Monthly Master'!$F$2*100</x:f>
        <x:v>102.28373702422147</x:v>
      </x:c>
      <x:c r="F16" s="40" t="n">
        <x:f>'Monthly Master'!G16/'Monthly Master'!$G$2*100</x:f>
        <x:v>100.74177097821048</x:v>
      </x:c>
      <x:c r="G16" s="40" t="n">
        <x:f>'Monthly Master'!H16/'Monthly Master'!$H$2*100</x:f>
        <x:v>101.35389244076723</x:v>
      </x:c>
      <x:c r="H16" s="40" t="n">
        <x:f>'Monthly Master'!I16/'Monthly Master'!$I$2*100</x:f>
        <x:v>103.79746835443038</x:v>
      </x:c>
      <x:c r="I16" s="40" t="n">
        <x:f>'Monthly Master'!J16/'Monthly Master'!$J$2*100</x:f>
        <x:v>97.71302102545185</x:v>
      </x:c>
      <x:c r="J16" s="40" t="n">
        <x:f>'Monthly Master'!K16/'Monthly Master'!$K$2*100</x:f>
        <x:v>103.45107053917452</x:v>
      </x:c>
      <x:c r="K16" s="20" t="str">
        <x:f>'Monthly Master'!C16</x:f>
        <x:v>Validated retail regime</x:v>
      </x:c>
      <x:c r="L16" t="str">
        <x:f>TEXT(A16,"mmm-yy")</x:f>
        <x:v>Mar-20</x:v>
      </x:c>
      <x:c r="M16" s="39" t="n">
        <x:f>'Monthly Master'!L16/'Monthly Master'!$L$2*100</x:f>
        <x:v>98.33984375000001</x:v>
      </x:c>
      <x:c r="N16" s="40" t="n">
        <x:v>100.90153819971499</x:v>
      </x:c>
    </x:row>
    <x:row r="17">
      <x:c r="A17" s="21" t="n">
        <x:f>'Monthly Master'!A17</x:f>
        <x:v>43922</x:v>
      </x:c>
      <x:c r="B17" s="40" t="n">
        <x:f>'Monthly Master'!B17/'Monthly Master'!$B$2*100</x:f>
        <x:v>100</x:v>
      </x:c>
      <x:c r="C17" s="40" t="n">
        <x:f>'Monthly Master'!D17/'Monthly Master'!$D$2*100</x:f>
        <x:v>86.25472887767968</x:v>
      </x:c>
      <x:c r="D17" s="40" t="n">
        <x:f>'Monthly Master'!E17/'Monthly Master'!$E$2*100</x:f>
        <x:v>98.90625</x:v>
      </x:c>
      <x:c r="E17" s="40" t="n">
        <x:f>'Monthly Master'!F17/'Monthly Master'!$F$2*100</x:f>
        <x:v>103.32179930795849</x:v>
      </x:c>
      <x:c r="F17" s="40" t="n">
        <x:f>'Monthly Master'!G17/'Monthly Master'!$G$2*100</x:f>
        <x:v>100.78813166434864</x:v>
      </x:c>
      <x:c r="G17" s="40" t="n">
        <x:f>'Monthly Master'!H17/'Monthly Master'!$H$2*100</x:f>
        <x:v>101.35389244076723</x:v>
      </x:c>
      <x:c r="H17" s="40" t="n">
        <x:f>'Monthly Master'!I17/'Monthly Master'!$I$2*100</x:f>
        <x:v>104.06871609403254</x:v>
      </x:c>
      <x:c r="I17" s="40" t="n">
        <x:f>'Monthly Master'!J17/'Monthly Master'!$J$2*100</x:f>
        <x:v>97.49170047952785</x:v>
      </x:c>
      <x:c r="J17" s="40" t="n">
        <x:f>'Monthly Master'!K17/'Monthly Master'!$K$2*100</x:f>
        <x:v>104.1922697198768</x:v>
      </x:c>
      <x:c r="K17" s="20" t="str">
        <x:f>'Monthly Master'!C17</x:f>
        <x:v>Validated retail regime</x:v>
      </x:c>
      <x:c r="L17" t="str">
        <x:f>TEXT(A17,"mmm-yy")</x:f>
        <x:v>Apr-20</x:v>
      </x:c>
      <x:c r="M17" s="39" t="n">
        <x:f>'Monthly Master'!L17/'Monthly Master'!$L$2*100</x:f>
        <x:v>93.39192708333333</x:v>
      </x:c>
      <x:c r="N17" s="40" t="n">
        <x:v>100.92561016966906</x:v>
      </x:c>
    </x:row>
    <x:row r="18">
      <x:c r="A18" s="21" t="n">
        <x:f>'Monthly Master'!A18</x:f>
        <x:v>43952</x:v>
      </x:c>
      <x:c r="B18" s="40" t="n">
        <x:f>'Monthly Master'!B18/'Monthly Master'!$B$2*100</x:f>
        <x:v>100</x:v>
      </x:c>
      <x:c r="C18" s="40" t="n">
        <x:f>'Monthly Master'!D18/'Monthly Master'!$D$2*100</x:f>
        <x:v>83.90079865489702</x:v>
      </x:c>
      <x:c r="D18" s="40" t="n">
        <x:f>'Monthly Master'!E18/'Monthly Master'!$E$2*100</x:f>
        <x:v>98.80208333333333</x:v>
      </x:c>
      <x:c r="E18" s="40" t="n">
        <x:f>'Monthly Master'!F18/'Monthly Master'!$F$2*100</x:f>
        <x:v>103.39100346020761</x:v>
      </x:c>
      <x:c r="F18" s="40" t="n">
        <x:f>'Monthly Master'!G18/'Monthly Master'!$G$2*100</x:f>
        <x:v>100.78813166434864</x:v>
      </x:c>
      <x:c r="G18" s="40" t="n">
        <x:f>'Monthly Master'!H18/'Monthly Master'!$H$2*100</x:f>
        <x:v>101.54193305754045</x:v>
      </x:c>
      <x:c r="H18" s="40" t="n">
        <x:f>'Monthly Master'!I18/'Monthly Master'!$I$2*100</x:f>
        <x:v>103.97830018083182</x:v>
      </x:c>
      <x:c r="I18" s="40" t="n">
        <x:f>'Monthly Master'!J18/'Monthly Master'!$J$2*100</x:f>
        <x:v>97.45481372187383</x:v>
      </x:c>
      <x:c r="J18" s="40" t="n">
        <x:f>'Monthly Master'!K18/'Monthly Master'!$K$2*100</x:f>
        <x:v>104.64612528181777</x:v>
      </x:c>
      <x:c r="K18" s="20" t="str">
        <x:f>'Monthly Master'!C18</x:f>
        <x:v>Validated retail regime</x:v>
      </x:c>
      <x:c r="L18" t="str">
        <x:f>TEXT(A18,"mmm-yy")</x:f>
        <x:v>May-20</x:v>
      </x:c>
      <x:c r="M18" s="39" t="n">
        <x:f>'Monthly Master'!L18/'Monthly Master'!$L$2*100</x:f>
        <x:v>93.42447916666667</x:v>
      </x:c>
      <x:c r="N18" s="40" t="n">
        <x:v>100.94079465614868</x:v>
      </x:c>
    </x:row>
    <x:row r="19">
      <x:c r="A19" s="21" t="n">
        <x:f>'Monthly Master'!A19</x:f>
        <x:v>43983</x:v>
      </x:c>
      <x:c r="B19" s="40" t="n">
        <x:f>'Monthly Master'!B19/'Monthly Master'!$B$2*100</x:f>
        <x:v>100</x:v>
      </x:c>
      <x:c r="C19" s="40" t="n">
        <x:f>'Monthly Master'!D19/'Monthly Master'!$D$2*100</x:f>
        <x:v>83.98486759142497</x:v>
      </x:c>
      <x:c r="D19" s="40" t="n">
        <x:f>'Monthly Master'!E19/'Monthly Master'!$E$2*100</x:f>
        <x:v>98.75</x:v>
      </x:c>
      <x:c r="E19" s="40" t="n">
        <x:f>'Monthly Master'!F19/'Monthly Master'!$F$2*100</x:f>
        <x:v>103.52941176470587</x:v>
      </x:c>
      <x:c r="F19" s="40" t="n">
        <x:f>'Monthly Master'!G19/'Monthly Master'!$G$2*100</x:f>
        <x:v>100.83449235048678</x:v>
      </x:c>
      <x:c r="G19" s="40" t="n">
        <x:f>'Monthly Master'!H19/'Monthly Master'!$H$2*100</x:f>
        <x:v>101.39150056412187</x:v>
      </x:c>
      <x:c r="H19" s="40" t="n">
        <x:f>'Monthly Master'!I19/'Monthly Master'!$I$2*100</x:f>
        <x:v>102.80289330922243</x:v>
      </x:c>
      <x:c r="I19" s="40" t="n">
        <x:f>'Monthly Master'!J19/'Monthly Master'!$J$2*100</x:f>
        <x:v>97.45481372187383</x:v>
      </x:c>
      <x:c r="J19" s="40" t="n">
        <x:f>'Monthly Master'!K19/'Monthly Master'!$K$2*100</x:f>
        <x:v>104.35141387796001</x:v>
      </x:c>
      <x:c r="K19" s="20" t="str">
        <x:f>'Monthly Master'!C19</x:f>
        <x:v>Validated retail regime</x:v>
      </x:c>
      <x:c r="L19" t="str">
        <x:f>TEXT(A19,"mmm-yy")</x:f>
        <x:v>Jun-20</x:v>
      </x:c>
      <x:c r="M19" s="39" t="n">
        <x:f>'Monthly Master'!L19/'Monthly Master'!$L$2*100</x:f>
        <x:v>93.68489583333334</x:v>
      </x:c>
      <x:c r="N19" s="40" t="n">
        <x:v>100.62092498642623</x:v>
      </x:c>
    </x:row>
    <x:row r="20">
      <x:c r="A20" s="21" t="n">
        <x:f>'Monthly Master'!A20</x:f>
        <x:v>44013</x:v>
      </x:c>
      <x:c r="B20" s="40" t="n">
        <x:f>'Monthly Master'!B20/'Monthly Master'!$B$2*100</x:f>
        <x:v>100</x:v>
      </x:c>
      <x:c r="C20" s="40" t="n">
        <x:f>'Monthly Master'!D20/'Monthly Master'!$D$2*100</x:f>
        <x:v>86.21269440941572</x:v>
      </x:c>
      <x:c r="D20" s="40" t="n">
        <x:f>'Monthly Master'!E20/'Monthly Master'!$E$2*100</x:f>
        <x:v>98.85416666666667</x:v>
      </x:c>
      <x:c r="E20" s="40" t="n">
        <x:f>'Monthly Master'!F20/'Monthly Master'!$F$2*100</x:f>
        <x:v>103.66782006920417</x:v>
      </x:c>
      <x:c r="F20" s="40" t="n">
        <x:f>'Monthly Master'!G20/'Monthly Master'!$G$2*100</x:f>
        <x:v>100.23180343069077</x:v>
      </x:c>
      <x:c r="G20" s="40" t="n">
        <x:f>'Monthly Master'!H20/'Monthly Master'!$H$2*100</x:f>
        <x:v>101.24106807070328</x:v>
      </x:c>
      <x:c r="H20" s="40" t="n">
        <x:f>'Monthly Master'!I20/'Monthly Master'!$I$2*100</x:f>
        <x:v>103.16455696202532</x:v>
      </x:c>
      <x:c r="I20" s="40" t="n">
        <x:f>'Monthly Master'!J20/'Monthly Master'!$J$2*100</x:f>
        <x:v>97.49170047952785</x:v>
      </x:c>
      <x:c r="J20" s="40" t="n">
        <x:f>'Monthly Master'!K20/'Monthly Master'!$K$2*100</x:f>
        <x:v>103.20940718801114</x:v>
      </x:c>
      <x:c r="K20" s="20" t="str">
        <x:f>'Monthly Master'!C20</x:f>
        <x:v>Validated retail regime</x:v>
      </x:c>
      <x:c r="L20" t="str">
        <x:f>TEXT(A20,"mmm-yy")</x:f>
        <x:v>Jul-20</x:v>
      </x:c>
      <x:c r="M20" s="39" t="n">
        <x:f>'Monthly Master'!L20/'Monthly Master'!$L$2*100</x:f>
        <x:v>93.94531250000001</x:v>
      </x:c>
      <x:c r="N20" s="40" t="n">
        <x:v>100.5322822357368</x:v>
      </x:c>
    </x:row>
    <x:row r="21">
      <x:c r="A21" s="21" t="n">
        <x:f>'Monthly Master'!A21</x:f>
        <x:v>44044</x:v>
      </x:c>
      <x:c r="B21" s="40" t="n">
        <x:f>'Monthly Master'!B21/'Monthly Master'!$B$2*100</x:f>
        <x:v>100</x:v>
      </x:c>
      <x:c r="C21" s="40" t="n">
        <x:f>'Monthly Master'!D21/'Monthly Master'!$D$2*100</x:f>
        <x:v>88.94493484657418</x:v>
      </x:c>
      <x:c r="D21" s="40" t="n">
        <x:f>'Monthly Master'!E21/'Monthly Master'!$E$2*100</x:f>
        <x:v>98.85416666666667</x:v>
      </x:c>
      <x:c r="E21" s="40" t="n">
        <x:f>'Monthly Master'!F21/'Monthly Master'!$F$2*100</x:f>
        <x:v>103.25259515570933</x:v>
      </x:c>
      <x:c r="F21" s="40" t="n">
        <x:f>'Monthly Master'!G21/'Monthly Master'!$G$2*100</x:f>
        <x:v>100.41724617524339</x:v>
      </x:c>
      <x:c r="G21" s="40" t="n">
        <x:f>'Monthly Master'!H21/'Monthly Master'!$H$2*100</x:f>
        <x:v>101.54193305754045</x:v>
      </x:c>
      <x:c r="H21" s="40" t="n">
        <x:f>'Monthly Master'!I21/'Monthly Master'!$I$2*100</x:f>
        <x:v>104.33996383363473</x:v>
      </x:c>
      <x:c r="I21" s="40" t="n">
        <x:f>'Monthly Master'!J21/'Monthly Master'!$J$2*100</x:f>
        <x:v>97.38104020656584</x:v>
      </x:c>
      <x:c r="J21" s="40" t="n">
        <x:f>'Monthly Master'!K21/'Monthly Master'!$K$2*100</x:f>
        <x:v>102.07329472613942</x:v>
      </x:c>
      <x:c r="K21" s="20" t="str">
        <x:f>'Monthly Master'!C21</x:f>
        <x:v>Validated retail regime</x:v>
      </x:c>
      <x:c r="L21" t="str">
        <x:f>TEXT(A21,"mmm-yy")</x:f>
        <x:v>Aug-20</x:v>
      </x:c>
      <x:c r="M21" s="39" t="n">
        <x:f>'Monthly Master'!L21/'Monthly Master'!$L$2*100</x:f>
        <x:v>94.01041666666667</x:v>
      </x:c>
      <x:c r="N21" s="40" t="n">
        <x:v>100.92004581824611</x:v>
      </x:c>
    </x:row>
    <x:row r="22">
      <x:c r="A22" s="21" t="n">
        <x:f>'Monthly Master'!A22</x:f>
        <x:v>44075</x:v>
      </x:c>
      <x:c r="B22" s="40" t="n">
        <x:f>'Monthly Master'!B22/'Monthly Master'!$B$2*100</x:f>
        <x:v>100</x:v>
      </x:c>
      <x:c r="C22" s="40" t="n">
        <x:f>'Monthly Master'!D22/'Monthly Master'!$D$2*100</x:f>
        <x:v>89.74358974358975</x:v>
      </x:c>
      <x:c r="D22" s="40" t="n">
        <x:f>'Monthly Master'!E22/'Monthly Master'!$E$2*100</x:f>
        <x:v>98.95833333333334</x:v>
      </x:c>
      <x:c r="E22" s="40" t="n">
        <x:f>'Monthly Master'!F22/'Monthly Master'!$F$2*100</x:f>
        <x:v>104.53287197231835</x:v>
      </x:c>
      <x:c r="F22" s="40" t="n">
        <x:f>'Monthly Master'!G22/'Monthly Master'!$G$2*100</x:f>
        <x:v>100.50996754751971</x:v>
      </x:c>
      <x:c r="G22" s="40" t="n">
        <x:f>'Monthly Master'!H22/'Monthly Master'!$H$2*100</x:f>
        <x:v>101.692365550959</x:v>
      </x:c>
      <x:c r="H22" s="40" t="n">
        <x:f>'Monthly Master'!I22/'Monthly Master'!$I$2*100</x:f>
        <x:v>104.97287522603978</x:v>
      </x:c>
      <x:c r="I22" s="40" t="n">
        <x:f>'Monthly Master'!J22/'Monthly Master'!$J$2*100</x:f>
        <x:v>97.34415344891183</x:v>
      </x:c>
      <x:c r="J22" s="40" t="n">
        <x:f>'Monthly Master'!K22/'Monthly Master'!$K$2*100</x:f>
        <x:v>100.3580743556872</x:v>
      </x:c>
      <x:c r="K22" s="20" t="str">
        <x:f>'Monthly Master'!C22</x:f>
        <x:v>Validated retail regime</x:v>
      </x:c>
      <x:c r="L22" t="str">
        <x:f>TEXT(A22,"mmm-yy")</x:f>
        <x:v>Sep-20</x:v>
      </x:c>
      <x:c r="M22" s="39" t="n">
        <x:f>'Monthly Master'!L22/'Monthly Master'!$L$2*100</x:f>
        <x:v>93.81510416666666</x:v>
      </x:c>
      <x:c r="N22" s="40" t="n">
        <x:v>101.12984044335758</x:v>
      </x:c>
    </x:row>
    <x:row r="23">
      <x:c r="A23" s="21" t="n">
        <x:f>'Monthly Master'!A23</x:f>
        <x:v>44105</x:v>
      </x:c>
      <x:c r="B23" s="40" t="n">
        <x:f>'Monthly Master'!B23/'Monthly Master'!$B$2*100</x:f>
        <x:v>100</x:v>
      </x:c>
      <x:c r="C23" s="40" t="n">
        <x:f>'Monthly Master'!D23/'Monthly Master'!$D$2*100</x:f>
        <x:v>94.66162253047499</x:v>
      </x:c>
      <x:c r="D23" s="40" t="n">
        <x:f>'Monthly Master'!E23/'Monthly Master'!$E$2*100</x:f>
        <x:v>99.01041666666667</x:v>
      </x:c>
      <x:c r="E23" s="40" t="n">
        <x:f>'Monthly Master'!F23/'Monthly Master'!$F$2*100</x:f>
        <x:v>104.39446366782006</x:v>
      </x:c>
      <x:c r="F23" s="40" t="n">
        <x:f>'Monthly Master'!G23/'Monthly Master'!$G$2*100</x:f>
        <x:v>101.94714881780251</x:v>
      </x:c>
      <x:c r="G23" s="40" t="n">
        <x:f>'Monthly Master'!H23/'Monthly Master'!$H$2*100</x:f>
        <x:v>101.72997367431367</x:v>
      </x:c>
      <x:c r="H23" s="40" t="n">
        <x:f>'Monthly Master'!I23/'Monthly Master'!$I$2*100</x:f>
        <x:v>104.70162748643762</x:v>
      </x:c>
      <x:c r="I23" s="40" t="n">
        <x:f>'Monthly Master'!J23/'Monthly Master'!$J$2*100</x:f>
        <x:v>97.34415344891183</x:v>
      </x:c>
      <x:c r="J23" s="40" t="n">
        <x:f>'Monthly Master'!K23/'Monthly Master'!$K$2*100</x:f>
        <x:v>99.10260377525309</x:v>
      </x:c>
      <x:c r="K23" s="20" t="str">
        <x:f>'Monthly Master'!C23</x:f>
        <x:v>Validated retail regime</x:v>
      </x:c>
      <x:c r="L23" t="str">
        <x:f>TEXT(A23,"mmm-yy")</x:f>
        <x:v>Oct-20</x:v>
      </x:c>
      <x:c r="M23" s="39" t="n">
        <x:f>'Monthly Master'!L23/'Monthly Master'!$L$2*100</x:f>
        <x:v>92.54557291666667</x:v>
      </x:c>
      <x:c r="N23" s="40" t="n">
        <x:v>101.4307258568664</x:v>
      </x:c>
    </x:row>
    <x:row r="24">
      <x:c r="A24" s="21" t="n">
        <x:f>'Monthly Master'!A24</x:f>
        <x:v>44136</x:v>
      </x:c>
      <x:c r="B24" s="40" t="n">
        <x:f>'Monthly Master'!B24/'Monthly Master'!$B$2*100</x:f>
        <x:v>100</x:v>
      </x:c>
      <x:c r="C24" s="40" t="n">
        <x:f>'Monthly Master'!D24/'Monthly Master'!$D$2*100</x:f>
        <x:v>95.25010508617065</x:v>
      </x:c>
      <x:c r="D24" s="40" t="n">
        <x:f>'Monthly Master'!E24/'Monthly Master'!$E$2*100</x:f>
        <x:v>99.01041666666667</x:v>
      </x:c>
      <x:c r="E24" s="40" t="n">
        <x:f>'Monthly Master'!F24/'Monthly Master'!$F$2*100</x:f>
        <x:v>103.80622837370241</x:v>
      </x:c>
      <x:c r="F24" s="40" t="n">
        <x:f>'Monthly Master'!G24/'Monthly Master'!$G$2*100</x:f>
        <x:v>102.22531293463145</x:v>
      </x:c>
      <x:c r="G24" s="40" t="n">
        <x:f>'Monthly Master'!H24/'Monthly Master'!$H$2*100</x:f>
        <x:v>101.88040616773225</x:v>
      </x:c>
      <x:c r="H24" s="40" t="n">
        <x:f>'Monthly Master'!I24/'Monthly Master'!$I$2*100</x:f>
        <x:v>104.70162748643762</x:v>
      </x:c>
      <x:c r="I24" s="40" t="n">
        <x:f>'Monthly Master'!J24/'Monthly Master'!$J$2*100</x:f>
        <x:v>97.45481372187383</x:v>
      </x:c>
      <x:c r="J24" s="40" t="n">
        <x:f>'Monthly Master'!K24/'Monthly Master'!$K$2*100</x:f>
        <x:v>97.29749642662424</x:v>
      </x:c>
      <x:c r="K24" s="20" t="str">
        <x:f>'Monthly Master'!C24</x:f>
        <x:v>Validated retail regime</x:v>
      </x:c>
      <x:c r="L24" t="str">
        <x:f>TEXT(A24,"mmm-yy")</x:f>
        <x:v>Nov-20</x:v>
      </x:c>
      <x:c r="M24" s="39" t="n">
        <x:f>'Monthly Master'!L24/'Monthly Master'!$L$2*100</x:f>
        <x:v>91.50390625000001</x:v>
      </x:c>
      <x:c r="N24" s="40" t="n">
        <x:v>101.56554007766879</x:v>
      </x:c>
    </x:row>
    <x:row r="25">
      <x:c r="A25" s="21" t="n">
        <x:f>'Monthly Master'!A25</x:f>
        <x:v>44166</x:v>
      </x:c>
      <x:c r="B25" s="40" t="n">
        <x:f>'Monthly Master'!B25/'Monthly Master'!$B$2*100</x:f>
        <x:v>100</x:v>
      </x:c>
      <x:c r="C25" s="40" t="n">
        <x:f>'Monthly Master'!D25/'Monthly Master'!$D$2*100</x:f>
        <x:v>97.47793190416141</x:v>
      </x:c>
      <x:c r="D25" s="40" t="n">
        <x:f>'Monthly Master'!E25/'Monthly Master'!$E$2*100</x:f>
        <x:v>98.90625</x:v>
      </x:c>
      <x:c r="E25" s="40" t="n">
        <x:f>'Monthly Master'!F25/'Monthly Master'!$F$2*100</x:f>
        <x:v>103.77162629757785</x:v>
      </x:c>
      <x:c r="F25" s="40" t="n">
        <x:f>'Monthly Master'!G25/'Monthly Master'!$G$2*100</x:f>
        <x:v>102.08623087621697</x:v>
      </x:c>
      <x:c r="G25" s="40" t="n">
        <x:f>'Monthly Master'!H25/'Monthly Master'!$H$2*100</x:f>
        <x:v>101.91801429108689</x:v>
      </x:c>
      <x:c r="H25" s="40" t="n">
        <x:f>'Monthly Master'!I25/'Monthly Master'!$I$2*100</x:f>
        <x:v>104.15913200723328</x:v>
      </x:c>
      <x:c r="I25" s="40" t="n">
        <x:f>'Monthly Master'!J25/'Monthly Master'!$J$2*100</x:f>
        <x:v>98.08188860199188</x:v>
      </x:c>
      <x:c r="J25" s="40" t="n">
        <x:f>'Monthly Master'!K25/'Monthly Master'!$K$2*100</x:f>
        <x:v>96.3603141623565</x:v>
      </x:c>
      <x:c r="K25" s="20" t="str">
        <x:f>'Monthly Master'!C25</x:f>
        <x:v>Validated retail regime</x:v>
      </x:c>
      <x:c r="L25" t="str">
        <x:f>TEXT(A25,"mmm-yy")</x:f>
        <x:v>Dec-20</x:v>
      </x:c>
      <x:c r="M25" s="39" t="n">
        <x:f>'Monthly Master'!L25/'Monthly Master'!$L$2*100</x:f>
        <x:v>92.44791666666667</x:v>
      </x:c>
      <x:c r="N25" s="40" t="n">
        <x:v>101.56131644413226</x:v>
      </x:c>
    </x:row>
    <x:row r="26">
      <x:c r="A26" s="21" t="n">
        <x:f>'Monthly Master'!A26</x:f>
        <x:v>44197</x:v>
      </x:c>
      <x:c r="B26" s="40" t="n">
        <x:f>'Monthly Master'!B26/'Monthly Master'!$B$2*100</x:f>
        <x:v>100</x:v>
      </x:c>
      <x:c r="C26" s="40" t="n">
        <x:f>'Monthly Master'!D26/'Monthly Master'!$D$2*100</x:f>
        <x:v>101.47120638923917</x:v>
      </x:c>
      <x:c r="D26" s="40" t="n">
        <x:f>'Monthly Master'!E26/'Monthly Master'!$E$2*100</x:f>
        <x:v>99.11458333333334</x:v>
      </x:c>
      <x:c r="E26" s="40" t="n">
        <x:f>'Monthly Master'!F26/'Monthly Master'!$F$2*100</x:f>
        <x:v>103.7370242214533</x:v>
      </x:c>
      <x:c r="F26" s="40" t="n">
        <x:f>'Monthly Master'!G26/'Monthly Master'!$G$2*100</x:f>
        <x:v>102.0398701900788</x:v>
      </x:c>
      <x:c r="G26" s="40" t="n">
        <x:f>'Monthly Master'!H26/'Monthly Master'!$H$2*100</x:f>
        <x:v>102.33170364798798</x:v>
      </x:c>
      <x:c r="H26" s="40" t="n">
        <x:f>'Monthly Master'!I26/'Monthly Master'!$I$2*100</x:f>
        <x:v>103.52622061482822</x:v>
      </x:c>
      <x:c r="I26" s="40" t="n">
        <x:f>'Monthly Master'!J26/'Monthly Master'!$J$2*100</x:f>
        <x:v>100.40575433419401</x:v>
      </x:c>
      <x:c r="J26" s="40" t="n">
        <x:f>'Monthly Master'!K26/'Monthly Master'!$K$2*100</x:f>
        <x:v>95.29787955144926</x:v>
      </x:c>
      <x:c r="K26" s="20" t="str">
        <x:f>'Monthly Master'!C26</x:f>
        <x:v>Validated retail regime</x:v>
      </x:c>
      <x:c r="L26" t="str">
        <x:f>TEXT(A26,"mmm-yy")</x:f>
        <x:v>Jan-21</x:v>
      </x:c>
      <x:c r="M26" s="39" t="n">
        <x:f>'Monthly Master'!L26/'Monthly Master'!$L$2*100</x:f>
        <x:v>93.19661458333334</x:v>
      </x:c>
      <x:c r="N26" s="40" t="n">
        <x:v>102.07588719677226</x:v>
      </x:c>
    </x:row>
    <x:row r="27">
      <x:c r="A27" s="21" t="n">
        <x:f>'Monthly Master'!A27</x:f>
        <x:v>44228</x:v>
      </x:c>
      <x:c r="B27" s="40" t="n">
        <x:f>'Monthly Master'!B27/'Monthly Master'!$B$2*100</x:f>
        <x:v>100</x:v>
      </x:c>
      <x:c r="C27" s="40" t="n">
        <x:f>'Monthly Master'!D27/'Monthly Master'!$D$2*100</x:f>
        <x:v>107.27196300966793</x:v>
      </x:c>
      <x:c r="D27" s="40" t="n">
        <x:f>'Monthly Master'!E27/'Monthly Master'!$E$2*100</x:f>
        <x:v>99.58333333333333</x:v>
      </x:c>
      <x:c r="E27" s="40" t="n">
        <x:f>'Monthly Master'!F27/'Monthly Master'!$F$2*100</x:f>
        <x:v>105.05190311418686</x:v>
      </x:c>
      <x:c r="F27" s="40" t="n">
        <x:f>'Monthly Master'!G27/'Monthly Master'!$G$2*100</x:f>
        <x:v>102.17895224849329</x:v>
      </x:c>
      <x:c r="G27" s="40" t="n">
        <x:f>'Monthly Master'!H27/'Monthly Master'!$H$2*100</x:f>
        <x:v>102.55735238811583</x:v>
      </x:c>
      <x:c r="H27" s="40" t="n">
        <x:f>'Monthly Master'!I27/'Monthly Master'!$I$2*100</x:f>
        <x:v>104.06871609403254</x:v>
      </x:c>
      <x:c r="I27" s="40" t="n">
        <x:f>'Monthly Master'!J27/'Monthly Master'!$J$2*100</x:f>
        <x:v>101.32792327554408</x:v>
      </x:c>
      <x:c r="J27" s="40" t="n">
        <x:f>'Monthly Master'!K27/'Monthly Master'!$K$2*100</x:f>
        <x:v>95.19325700307974</x:v>
      </x:c>
      <x:c r="K27" s="20" t="str">
        <x:f>'Monthly Master'!C27</x:f>
        <x:v>Validated retail regime</x:v>
      </x:c>
      <x:c r="L27" t="str">
        <x:f>TEXT(A27,"mmm-yy")</x:f>
        <x:v>Feb-21</x:v>
      </x:c>
      <x:c r="M27" s="39" t="n">
        <x:f>'Monthly Master'!L27/'Monthly Master'!$L$2*100</x:f>
        <x:v>95.80078125000001</x:v>
      </x:c>
      <x:c r="N27" s="40" t="n">
        <x:v>102.53323600154644</x:v>
      </x:c>
    </x:row>
    <x:row r="28">
      <x:c r="A28" s="21" t="n">
        <x:f>'Monthly Master'!A28</x:f>
        <x:v>44256</x:v>
      </x:c>
      <x:c r="B28" s="40" t="n">
        <x:f>'Monthly Master'!B28/'Monthly Master'!$B$2*100</x:f>
        <x:v>100</x:v>
      </x:c>
      <x:c r="C28" s="40" t="n">
        <x:f>'Monthly Master'!D28/'Monthly Master'!$D$2*100</x:f>
        <x:v>118.62126944094156</x:v>
      </x:c>
      <x:c r="D28" s="40" t="n">
        <x:f>'Monthly Master'!E28/'Monthly Master'!$E$2*100</x:f>
        <x:v>99.79166666666667</x:v>
      </x:c>
      <x:c r="E28" s="40" t="n">
        <x:f>'Monthly Master'!F28/'Monthly Master'!$F$2*100</x:f>
        <x:v>106.74740484429066</x:v>
      </x:c>
      <x:c r="F28" s="40" t="n">
        <x:f>'Monthly Master'!G28/'Monthly Master'!$G$2*100</x:f>
        <x:v>102.27167362076959</x:v>
      </x:c>
      <x:c r="G28" s="40" t="n">
        <x:f>'Monthly Master'!H28/'Monthly Master'!$H$2*100</x:f>
        <x:v>103.08386611508087</x:v>
      </x:c>
      <x:c r="H28" s="40" t="n">
        <x:f>'Monthly Master'!I28/'Monthly Master'!$I$2*100</x:f>
        <x:v>105.96745027124774</x:v>
      </x:c>
      <x:c r="I28" s="40" t="n">
        <x:f>'Monthly Master'!J28/'Monthly Master'!$J$2*100</x:f>
        <x:v>102.28697897454812</x:v>
      </x:c>
      <x:c r="J28" s="40" t="n">
        <x:f>'Monthly Master'!K28/'Monthly Master'!$K$2*100</x:f>
        <x:v>95.94182396887848</x:v>
      </x:c>
      <x:c r="K28" s="20" t="str">
        <x:f>'Monthly Master'!C28</x:f>
        <x:v>Validated retail regime</x:v>
      </x:c>
      <x:c r="L28" t="str">
        <x:f>TEXT(A28,"mmm-yy")</x:f>
        <x:v>Mar-21</x:v>
      </x:c>
      <x:c r="M28" s="39" t="n">
        <x:f>'Monthly Master'!L28/'Monthly Master'!$L$2*100</x:f>
        <x:v>97.62369791666666</x:v>
      </x:c>
      <x:c r="N28" s="40" t="n">
        <x:v>103.40249224541158</x:v>
      </x:c>
    </x:row>
    <x:row r="29">
      <x:c r="A29" s="21" t="n">
        <x:f>'Monthly Master'!A29</x:f>
        <x:v>44287</x:v>
      </x:c>
      <x:c r="B29" s="40" t="n">
        <x:f>'Monthly Master'!B29/'Monthly Master'!$B$2*100</x:f>
        <x:v>100</x:v>
      </x:c>
      <x:c r="C29" s="40" t="n">
        <x:f>'Monthly Master'!D29/'Monthly Master'!$D$2*100</x:f>
        <x:v>126.4396805380412</x:v>
      </x:c>
      <x:c r="D29" s="40" t="n">
        <x:f>'Monthly Master'!E29/'Monthly Master'!$E$2*100</x:f>
        <x:v>100.05208333333333</x:v>
      </x:c>
      <x:c r="E29" s="40" t="n">
        <x:f>'Monthly Master'!F29/'Monthly Master'!$F$2*100</x:f>
        <x:v>106.74740484429066</x:v>
      </x:c>
      <x:c r="F29" s="40" t="n">
        <x:f>'Monthly Master'!G29/'Monthly Master'!$G$2*100</x:f>
        <x:v>103.15252665739453</x:v>
      </x:c>
      <x:c r="G29" s="40" t="n">
        <x:f>'Monthly Master'!H29/'Monthly Master'!$H$2*100</x:f>
        <x:v>103.45994734862731</x:v>
      </x:c>
      <x:c r="H29" s="40" t="n">
        <x:f>'Monthly Master'!I29/'Monthly Master'!$I$2*100</x:f>
        <x:v>105.60578661844484</x:v>
      </x:c>
      <x:c r="I29" s="40" t="n">
        <x:f>'Monthly Master'!J29/'Monthly Master'!$J$2*100</x:f>
        <x:v>103.1353744005902</x:v>
      </x:c>
      <x:c r="J29" s="40" t="n">
        <x:f>'Monthly Master'!K29/'Monthly Master'!$K$2*100</x:f>
        <x:v>96.05528785936373</x:v>
      </x:c>
      <x:c r="K29" s="20" t="str">
        <x:f>'Monthly Master'!C29</x:f>
        <x:v>Validated retail regime</x:v>
      </x:c>
      <x:c r="L29" t="str">
        <x:f>TEXT(A29,"mmm-yy")</x:f>
        <x:v>Apr-21</x:v>
      </x:c>
      <x:c r="M29" s="39" t="n">
        <x:f>'Monthly Master'!L29/'Monthly Master'!$L$2*100</x:f>
        <x:v>100.74869791666667</x:v>
      </x:c>
      <x:c r="N29" s="40" t="n">
        <x:v>103.83840875626422</x:v>
      </x:c>
    </x:row>
    <x:row r="30">
      <x:c r="A30" s="21" t="n">
        <x:f>'Monthly Master'!A30</x:f>
        <x:v>44317</x:v>
      </x:c>
      <x:c r="B30" s="40" t="n">
        <x:f>'Monthly Master'!B30/'Monthly Master'!$B$2*100</x:f>
        <x:v>100</x:v>
      </x:c>
      <x:c r="C30" s="40" t="n">
        <x:f>'Monthly Master'!D30/'Monthly Master'!$D$2*100</x:f>
        <x:v>130.47498949138293</x:v>
      </x:c>
      <x:c r="D30" s="40" t="n">
        <x:f>'Monthly Master'!E30/'Monthly Master'!$E$2*100</x:f>
        <x:v>101.35416666666666</x:v>
      </x:c>
      <x:c r="E30" s="40" t="n">
        <x:f>'Monthly Master'!F30/'Monthly Master'!$F$2*100</x:f>
        <x:v>109.27335640138409</x:v>
      </x:c>
      <x:c r="F30" s="40" t="n">
        <x:f>'Monthly Master'!G30/'Monthly Master'!$G$2*100</x:f>
        <x:v>103.38433008808532</x:v>
      </x:c>
      <x:c r="G30" s="40" t="n">
        <x:f>'Monthly Master'!H30/'Monthly Master'!$H$2*100</x:f>
        <x:v>105.3027453930049</x:v>
      </x:c>
      <x:c r="H30" s="40" t="n">
        <x:f>'Monthly Master'!I30/'Monthly Master'!$I$2*100</x:f>
        <x:v>105.51537070524412</x:v>
      </x:c>
      <x:c r="I30" s="40" t="n">
        <x:f>'Monthly Master'!J30/'Monthly Master'!$J$2*100</x:f>
        <x:v>104.61084470675029</x:v>
      </x:c>
      <x:c r="J30" s="40" t="n">
        <x:f>'Monthly Master'!K30/'Monthly Master'!$K$2*100</x:f>
        <x:v>94.78066103767885</x:v>
      </x:c>
      <x:c r="K30" s="20" t="str">
        <x:f>'Monthly Master'!C30</x:f>
        <x:v>Validated retail regime</x:v>
      </x:c>
      <x:c r="L30" t="str">
        <x:f>TEXT(A30,"mmm-yy")</x:f>
        <x:v>May-21</x:v>
      </x:c>
      <x:c r="M30" s="39" t="n">
        <x:f>'Monthly Master'!L30/'Monthly Master'!$L$2*100</x:f>
        <x:v>105.11067708333333</x:v>
      </x:c>
      <x:c r="N30" s="40" t="n">
        <x:v>104.70332272327116</x:v>
      </x:c>
    </x:row>
    <x:row r="31">
      <x:c r="A31" s="21" t="n">
        <x:f>'Monthly Master'!A31</x:f>
        <x:v>44348</x:v>
      </x:c>
      <x:c r="B31" s="40" t="n">
        <x:f>'Monthly Master'!B31/'Monthly Master'!$B$2*100</x:f>
        <x:v>100</x:v>
      </x:c>
      <x:c r="C31" s="40" t="n">
        <x:f>'Monthly Master'!D31/'Monthly Master'!$D$2*100</x:f>
        <x:v>135.98150483396384</x:v>
      </x:c>
      <x:c r="D31" s="40" t="n">
        <x:f>'Monthly Master'!E31/'Monthly Master'!$E$2*100</x:f>
        <x:v>101.77083333333334</x:v>
      </x:c>
      <x:c r="E31" s="40" t="n">
        <x:f>'Monthly Master'!F31/'Monthly Master'!$F$2*100</x:f>
        <x:v>110.03460207612457</x:v>
      </x:c>
      <x:c r="F31" s="40" t="n">
        <x:f>'Monthly Master'!G31/'Monthly Master'!$G$2*100</x:f>
        <x:v>105.42420027816412</x:v>
      </x:c>
      <x:c r="G31" s="40" t="n">
        <x:f>'Monthly Master'!H31/'Monthly Master'!$H$2*100</x:f>
        <x:v>105.82925911996992</x:v>
      </x:c>
      <x:c r="H31" s="40" t="n">
        <x:f>'Monthly Master'!I31/'Monthly Master'!$I$2*100</x:f>
        <x:v>105.7866184448463</x:v>
      </x:c>
      <x:c r="I31" s="40" t="n">
        <x:f>'Monthly Master'!J31/'Monthly Master'!$J$2*100</x:f>
        <x:v>105.64367392106233</x:v>
      </x:c>
      <x:c r="J31" s="40" t="n">
        <x:f>'Monthly Master'!K31/'Monthly Master'!$K$2*100</x:f>
        <x:v>94.67603848930935</x:v>
      </x:c>
      <x:c r="K31" s="20" t="str">
        <x:f>'Monthly Master'!C31</x:f>
        <x:v>Validated retail regime</x:v>
      </x:c>
      <x:c r="L31" t="str">
        <x:f>TEXT(A31,"mmm-yy")</x:f>
        <x:v>Jun-21</x:v>
      </x:c>
      <x:c r="M31" s="39" t="n">
        <x:f>'Monthly Master'!L31/'Monthly Master'!$L$2*100</x:f>
        <x:v>109.66796875</x:v>
      </x:c>
      <x:c r="N31" s="40" t="n">
        <x:v>105.67093794101066</x:v>
      </x:c>
    </x:row>
    <x:row r="32">
      <x:c r="A32" s="21" t="n">
        <x:f>'Monthly Master'!A32</x:f>
        <x:v>44378</x:v>
      </x:c>
      <x:c r="B32" s="40" t="n">
        <x:f>'Monthly Master'!B32/'Monthly Master'!$B$2*100</x:f>
        <x:v>115.00750375187594</x:v>
      </x:c>
      <x:c r="C32" s="40" t="n">
        <x:f>'Monthly Master'!D32/'Monthly Master'!$D$2*100</x:f>
        <x:v>140.4321143337537</x:v>
      </x:c>
      <x:c r="D32" s="40" t="n">
        <x:f>'Monthly Master'!E32/'Monthly Master'!$E$2*100</x:f>
        <x:v>102.10364583333333</x:v>
      </x:c>
      <x:c r="E32" s="40" t="n">
        <x:f>'Monthly Master'!F32/'Monthly Master'!$F$2*100</x:f>
        <x:v>112.4038062283737</x:v>
      </x:c>
      <x:c r="F32" s="40" t="n">
        <x:f>'Monthly Master'!G32/'Monthly Master'!$G$2*100</x:f>
        <x:v>105.46963375057952</x:v>
      </x:c>
      <x:c r="G32" s="40" t="n">
        <x:f>'Monthly Master'!H32/'Monthly Master'!$H$2*100</x:f>
        <x:v>107.42271530650622</x:v>
      </x:c>
      <x:c r="H32" s="40" t="n">
        <x:f>'Monthly Master'!I32/'Monthly Master'!$I$2*100</x:f>
        <x:v>106.52802893309223</x:v>
      </x:c>
      <x:c r="I32" s="40" t="n">
        <x:f>'Monthly Master'!J32/'Monthly Master'!$J$2*100</x:f>
        <x:v>109.03393581704168</x:v>
      </x:c>
      <x:c r="J32" s="40" t="n">
        <x:f>'Monthly Master'!K32/'Monthly Master'!$K$2*100</x:f>
        <x:v>95.43197324020454</x:v>
      </x:c>
      <x:c r="K32" s="20" t="str">
        <x:f>'Monthly Master'!C32</x:f>
        <x:v>Validated analytical breakpoint; older/newer wave overlap possible</x:v>
      </x:c>
      <x:c r="L32" t="str">
        <x:f>TEXT(A32,"mmm-yy")</x:f>
        <x:v>Jul-21</x:v>
      </x:c>
      <x:c r="M32" s="39" t="n">
        <x:f>'Monthly Master'!L32/'Monthly Master'!$L$2*100</x:f>
        <x:v>110.7744140625</x:v>
      </x:c>
      <x:c r="N32" s="40" t="n">
        <x:v>107.11357845180491</x:v>
      </x:c>
    </x:row>
    <x:row r="33">
      <x:c r="A33" s="21" t="n">
        <x:f>'Monthly Master'!A33</x:f>
        <x:v>44409</x:v>
      </x:c>
      <x:c r="B33" s="40" t="n">
        <x:f>'Monthly Master'!B33/'Monthly Master'!$B$2*100</x:f>
        <x:v>115.00750375187594</x:v>
      </x:c>
      <x:c r="C33" s="40" t="n">
        <x:f>'Monthly Master'!D33/'Monthly Master'!$D$2*100</x:f>
        <x:v>143.17192097519967</x:v>
      </x:c>
      <x:c r="D33" s="40" t="n">
        <x:f>'Monthly Master'!E33/'Monthly Master'!$E$2*100</x:f>
        <x:v>103.04583333333335</x:v>
      </x:c>
      <x:c r="E33" s="40" t="n">
        <x:f>'Monthly Master'!F33/'Monthly Master'!$F$2*100</x:f>
        <x:v>113.68858131487889</x:v>
      </x:c>
      <x:c r="F33" s="40" t="n">
        <x:f>'Monthly Master'!G33/'Monthly Master'!$G$2*100</x:f>
        <x:v>107.81594807603152</x:v>
      </x:c>
      <x:c r="G33" s="40" t="n">
        <x:f>'Monthly Master'!H33/'Monthly Master'!$H$2*100</x:f>
        <x:v>107.88341481760062</x:v>
      </x:c>
      <x:c r="H33" s="40" t="n">
        <x:f>'Monthly Master'!I33/'Monthly Master'!$I$2*100</x:f>
        <x:v>107.51537070524412</x:v>
      </x:c>
      <x:c r="I33" s="40" t="n">
        <x:f>'Monthly Master'!J33/'Monthly Master'!$J$2*100</x:f>
        <x:v>109.71892290667648</x:v>
      </x:c>
      <x:c r="J33" s="40" t="n">
        <x:f>'Monthly Master'!K33/'Monthly Master'!$K$2*100</x:f>
        <x:v>95.43934102530098</x:v>
      </x:c>
      <x:c r="K33" s="20" t="str">
        <x:f>'Monthly Master'!C33</x:f>
        <x:v>Validated analytical breakpoint; older/newer wave overlap possible</x:v>
      </x:c>
      <x:c r="L33" t="str">
        <x:f>TEXT(A33,"mmm-yy")</x:f>
        <x:v>Aug-21</x:v>
      </x:c>
      <x:c r="M33" s="39" t="n">
        <x:f>'Monthly Master'!L33/'Monthly Master'!$L$2*100</x:f>
        <x:v>109.0029296875</x:v>
      </x:c>
      <x:c r="N33" s="40" t="n">
        <x:v>108.23341412638818</x:v>
      </x:c>
    </x:row>
    <x:row r="34">
      <x:c r="A34" s="21" t="n">
        <x:f>'Monthly Master'!A34</x:f>
        <x:v>44440</x:v>
      </x:c>
      <x:c r="B34" s="40" t="n">
        <x:f>'Monthly Master'!B34/'Monthly Master'!$B$2*100</x:f>
        <x:v>115.00750375187594</x:v>
      </x:c>
      <x:c r="C34" s="40" t="n">
        <x:f>'Monthly Master'!D34/'Monthly Master'!$D$2*100</x:f>
        <x:v>142.583438419504</x:v>
      </x:c>
      <x:c r="D34" s="40" t="n">
        <x:f>'Monthly Master'!E34/'Monthly Master'!$E$2*100</x:f>
        <x:v>103.14583333333334</x:v>
      </x:c>
      <x:c r="E34" s="40" t="n">
        <x:f>'Monthly Master'!F34/'Monthly Master'!$F$2*100</x:f>
        <x:v>114.37612456747405</x:v>
      </x:c>
      <x:c r="F34" s="40" t="n">
        <x:f>'Monthly Master'!G34/'Monthly Master'!$G$2*100</x:f>
        <x:v>107.83124710245713</x:v>
      </x:c>
      <x:c r="G34" s="40" t="n">
        <x:f>'Monthly Master'!H34/'Monthly Master'!$H$2*100</x:f>
        <x:v>110.14779992478377</x:v>
      </x:c>
      <x:c r="H34" s="40" t="n">
        <x:f>'Monthly Master'!I34/'Monthly Master'!$I$2*100</x:f>
        <x:v>108.6609403254973</x:v>
      </x:c>
      <x:c r="I34" s="40" t="n">
        <x:f>'Monthly Master'!J34/'Monthly Master'!$J$2*100</x:f>
        <x:v>111.63482109922536</x:v>
      </x:c>
      <x:c r="J34" s="40" t="n">
        <x:f>'Monthly Master'!K34/'Monthly Master'!$K$2*100</x:f>
        <x:v>95.13726183634675</x:v>
      </x:c>
      <x:c r="K34" s="20" t="str">
        <x:f>'Monthly Master'!C34</x:f>
        <x:v>Validated analytical breakpoint; older/newer wave overlap possible</x:v>
      </x:c>
      <x:c r="L34" t="str">
        <x:f>TEXT(A34,"mmm-yy")</x:f>
        <x:v>Sep-21</x:v>
      </x:c>
      <x:c r="M34" s="39" t="n">
        <x:f>'Monthly Master'!L34/'Monthly Master'!$L$2*100</x:f>
        <x:v>112.92024739583336</x:v>
      </x:c>
      <x:c r="N34" s="40" t="n">
        <x:v>109.56870211299089</x:v>
      </x:c>
    </x:row>
    <x:row r="35">
      <x:c r="A35" s="21" t="n">
        <x:f>'Monthly Master'!A35</x:f>
        <x:v>44470</x:v>
      </x:c>
      <x:c r="B35" s="40" t="n">
        <x:f>'Monthly Master'!B35/'Monthly Master'!$B$2*100</x:f>
        <x:v>115.00750375187594</x:v>
      </x:c>
      <x:c r="C35" s="40" t="n">
        <x:f>'Monthly Master'!D35/'Monthly Master'!$D$2*100</x:f>
        <x:v>142.6822194199243</x:v>
      </x:c>
      <x:c r="D35" s="40" t="n">
        <x:f>'Monthly Master'!E35/'Monthly Master'!$E$2*100</x:f>
        <x:v>104.86875</x:v>
      </x:c>
      <x:c r="E35" s="40" t="n">
        <x:f>'Monthly Master'!F35/'Monthly Master'!$F$2*100</x:f>
        <x:v>115.60934256055364</x:v>
      </x:c>
      <x:c r="F35" s="40" t="n">
        <x:f>'Monthly Master'!G35/'Monthly Master'!$G$2*100</x:f>
        <x:v>109.75475197032918</x:v>
      </x:c>
      <x:c r="G35" s="40" t="n">
        <x:f>'Monthly Master'!H35/'Monthly Master'!$H$2*100</x:f>
        <x:v>110.85445656261754</x:v>
      </x:c>
      <x:c r="H35" s="40" t="n">
        <x:f>'Monthly Master'!I35/'Monthly Master'!$I$2*100</x:f>
        <x:v>112.0877034358047</x:v>
      </x:c>
      <x:c r="I35" s="40" t="n">
        <x:f>'Monthly Master'!J35/'Monthly Master'!$J$2*100</x:f>
        <x:v>115.64699372925121</x:v>
      </x:c>
      <x:c r="J35" s="40" t="n">
        <x:f>'Monthly Master'!K35/'Monthly Master'!$K$2*100</x:f>
        <x:v>94.56110104180482</x:v>
      </x:c>
      <x:c r="K35" s="20" t="str">
        <x:f>'Monthly Master'!C35</x:f>
        <x:v>Validated analytical breakpoint; older/newer wave overlap possible</x:v>
      </x:c>
      <x:c r="L35" t="str">
        <x:f>TEXT(A35,"mmm-yy")</x:f>
        <x:v>Oct-21</x:v>
      </x:c>
      <x:c r="M35" s="39" t="n">
        <x:f>'Monthly Master'!L35/'Monthly Master'!$L$2*100</x:f>
        <x:v>116.16536458333336</x:v>
      </x:c>
      <x:c r="N35" s="40" t="n">
        <x:v>112.08597642450066</x:v>
      </x:c>
    </x:row>
    <x:row r="36">
      <x:c r="A36" s="21" t="n">
        <x:f>'Monthly Master'!A36</x:f>
        <x:v>44501</x:v>
      </x:c>
      <x:c r="B36" s="40" t="n">
        <x:f>'Monthly Master'!B36/'Monthly Master'!$B$2*100</x:f>
        <x:v>115.00750375187594</x:v>
      </x:c>
      <x:c r="C36" s="40" t="n">
        <x:f>'Monthly Master'!D36/'Monthly Master'!$D$2*100</x:f>
        <x:v>140.86128625472887</x:v>
      </x:c>
      <x:c r="D36" s="40" t="n">
        <x:f>'Monthly Master'!E36/'Monthly Master'!$E$2*100</x:f>
        <x:v>105.05781250000001</x:v>
      </x:c>
      <x:c r="E36" s="40" t="n">
        <x:f>'Monthly Master'!F36/'Monthly Master'!$F$2*100</x:f>
        <x:v>117.36470588235295</x:v>
      </x:c>
      <x:c r="F36" s="40" t="n">
        <x:f>'Monthly Master'!G36/'Monthly Master'!$G$2*100</x:f>
        <x:v>110.48446917014371</x:v>
      </x:c>
      <x:c r="G36" s="40" t="n">
        <x:f>'Monthly Master'!H36/'Monthly Master'!$H$2*100</x:f>
        <x:v>111.52688980819858</x:v>
      </x:c>
      <x:c r="H36" s="40" t="n">
        <x:f>'Monthly Master'!I36/'Monthly Master'!$I$2*100</x:f>
        <x:v>113.81374321880651</x:v>
      </x:c>
      <x:c r="I36" s="40" t="n">
        <x:f>'Monthly Master'!J36/'Monthly Master'!$J$2*100</x:f>
        <x:v>115.89561047583916</x:v>
      </x:c>
      <x:c r="J36" s="40" t="n">
        <x:f>'Monthly Master'!K36/'Monthly Master'!$K$2*100</x:f>
        <x:v>94.14408440534606</x:v>
      </x:c>
      <x:c r="K36" s="20" t="str">
        <x:f>'Monthly Master'!C36</x:f>
        <x:v>Validated analytical breakpoint; older/newer wave overlap possible</x:v>
      </x:c>
      <x:c r="L36" t="str">
        <x:f>TEXT(A36,"mmm-yy")</x:f>
        <x:v>Nov-21</x:v>
      </x:c>
      <x:c r="M36" s="39" t="n">
        <x:f>'Monthly Master'!L36/'Monthly Master'!$L$2*100</x:f>
        <x:v>115.05208333333334</x:v>
      </x:c>
      <x:c r="N36" s="40" t="n">
        <x:v>112.93017816824698</x:v>
      </x:c>
    </x:row>
    <x:row r="37">
      <x:c r="A37" s="21" t="n">
        <x:f>'Monthly Master'!A37</x:f>
        <x:v>44531</x:v>
      </x:c>
      <x:c r="B37" s="40" t="n">
        <x:f>'Monthly Master'!B37/'Monthly Master'!$B$2*100</x:f>
        <x:v>115.00750375187594</x:v>
      </x:c>
      <x:c r="C37" s="40" t="n">
        <x:f>'Monthly Master'!D37/'Monthly Master'!$D$2*100</x:f>
        <x:v>136.0411937788987</x:v>
      </x:c>
      <x:c r="D37" s="40" t="n">
        <x:f>'Monthly Master'!E37/'Monthly Master'!$E$2*100</x:f>
        <x:v>105.31979166666667</x:v>
      </x:c>
      <x:c r="E37" s="40" t="n">
        <x:f>'Monthly Master'!F37/'Monthly Master'!$F$2*100</x:f>
        <x:v>117.89653979238754</x:v>
      </x:c>
      <x:c r="F37" s="40" t="n">
        <x:f>'Monthly Master'!G37/'Monthly Master'!$G$2*100</x:f>
        <x:v>110.58321743161798</x:v>
      </x:c>
      <x:c r="G37" s="40" t="n">
        <x:f>'Monthly Master'!H37/'Monthly Master'!$H$2*100</x:f>
        <x:v>113.79654005265138</x:v>
      </x:c>
      <x:c r="H37" s="40" t="n">
        <x:f>'Monthly Master'!I37/'Monthly Master'!$I$2*100</x:f>
        <x:v>116.11844484629295</x:v>
      </x:c>
      <x:c r="I37" s="40" t="n">
        <x:f>'Monthly Master'!J37/'Monthly Master'!$J$2*100</x:f>
        <x:v>116.25931390630761</x:v>
      </x:c>
      <x:c r="J37" s="40" t="n">
        <x:f>'Monthly Master'!K37/'Monthly Master'!$K$2*100</x:f>
        <x:v>93.85526722956546</x:v>
      </x:c>
      <x:c r="K37" s="20" t="str">
        <x:f>'Monthly Master'!C37</x:f>
        <x:v>Validated analytical breakpoint; older/newer wave overlap possible</x:v>
      </x:c>
      <x:c r="L37" t="str">
        <x:f>TEXT(A37,"mmm-yy")</x:f>
        <x:v>Dec-21</x:v>
      </x:c>
      <x:c r="M37" s="39" t="n">
        <x:f>'Monthly Master'!L37/'Monthly Master'!$L$2*100</x:f>
        <x:v>119.04069010416667</x:v>
      </x:c>
      <x:c r="N37" s="40" t="n">
        <x:v>114.18937905921749</x:v>
      </x:c>
    </x:row>
    <x:row r="38">
      <x:c r="A38" s="21" t="n">
        <x:f>'Monthly Master'!A38</x:f>
        <x:v>44562</x:v>
      </x:c>
      <x:c r="B38" s="40" t="n">
        <x:f>'Monthly Master'!B38/'Monthly Master'!$B$2*100</x:f>
        <x:v>115.00750375187594</x:v>
      </x:c>
      <x:c r="C38" s="40" t="n">
        <x:f>'Monthly Master'!D38/'Monthly Master'!$D$2*100</x:f>
        <x:v>131.10508617065994</x:v>
      </x:c>
      <x:c r="D38" s="40" t="n">
        <x:f>'Monthly Master'!E38/'Monthly Master'!$E$2*100</x:f>
        <x:v>106.8640625</x:v>
      </x:c>
      <x:c r="E38" s="40" t="n">
        <x:f>'Monthly Master'!F38/'Monthly Master'!$F$2*100</x:f>
        <x:v>124.11453287197232</x:v>
      </x:c>
      <x:c r="F38" s="40" t="n">
        <x:f>'Monthly Master'!G38/'Monthly Master'!$G$2*100</x:f>
        <x:v>111.72229949003247</x:v>
      </x:c>
      <x:c r="G38" s="40" t="n">
        <x:f>'Monthly Master'!H38/'Monthly Master'!$H$2*100</x:f>
        <x:v>117.15682587438887</x:v>
      </x:c>
      <x:c r="H38" s="40" t="n">
        <x:f>'Monthly Master'!I38/'Monthly Master'!$I$2*100</x:f>
        <x:v>117.87160940325498</x:v>
      </x:c>
      <x:c r="I38" s="40" t="n">
        <x:f>'Monthly Master'!J38/'Monthly Master'!$J$2*100</x:f>
        <x:v>118.04537071191442</x:v>
      </x:c>
      <x:c r="J38" s="40" t="n">
        <x:f>'Monthly Master'!K38/'Monthly Master'!$K$2*100</x:f>
        <x:v>93.65338991792288</x:v>
      </x:c>
      <x:c r="K38" s="20" t="str">
        <x:f>'Monthly Master'!C38</x:f>
        <x:v>Validated analytical breakpoint; older/newer wave overlap possible</x:v>
      </x:c>
      <x:c r="L38" t="str">
        <x:f>TEXT(A38,"mmm-yy")</x:f>
        <x:v>Jan-22</x:v>
      </x:c>
      <x:c r="M38" s="39" t="n">
        <x:f>'Monthly Master'!L38/'Monthly Master'!$L$2*100</x:f>
        <x:v>119.48046875</x:v>
      </x:c>
      <x:c r="N38" s="40" t="n">
        <x:v>116.19902636989768</x:v>
      </x:c>
    </x:row>
    <x:row r="39">
      <x:c r="A39" s="21" t="n">
        <x:f>'Monthly Master'!A39</x:f>
        <x:v>44593</x:v>
      </x:c>
      <x:c r="B39" s="40" t="n">
        <x:f>'Monthly Master'!B39/'Monthly Master'!$B$2*100</x:f>
        <x:v>115.00750375187594</x:v>
      </x:c>
      <x:c r="C39" s="40" t="n">
        <x:f>'Monthly Master'!D39/'Monthly Master'!$D$2*100</x:f>
        <x:v>131.2324506094998</x:v>
      </x:c>
      <x:c r="D39" s="40" t="n">
        <x:f>'Monthly Master'!E39/'Monthly Master'!$E$2*100</x:f>
        <x:v>107.82760416666666</x:v>
      </x:c>
      <x:c r="E39" s="40" t="n">
        <x:f>'Monthly Master'!F39/'Monthly Master'!$F$2*100</x:f>
        <x:v>125.19342560553635</x:v>
      </x:c>
      <x:c r="F39" s="40" t="n">
        <x:f>'Monthly Master'!G39/'Monthly Master'!$G$2*100</x:f>
        <x:v>111.80713954566528</x:v>
      </x:c>
      <x:c r="G39" s="40" t="n">
        <x:f>'Monthly Master'!H39/'Monthly Master'!$H$2*100</x:f>
        <x:v>119.85445656261753</x:v>
      </x:c>
      <x:c r="H39" s="40" t="n">
        <x:f>'Monthly Master'!I39/'Monthly Master'!$I$2*100</x:f>
        <x:v>120.94665461121157</x:v>
      </x:c>
      <x:c r="I39" s="40" t="n">
        <x:f>'Monthly Master'!J39/'Monthly Master'!$J$2*100</x:f>
        <x:v>119.71597196606419</x:v>
      </x:c>
      <x:c r="J39" s="40" t="n">
        <x:f>'Monthly Master'!K39/'Monthly Master'!$K$2*100</x:f>
        <x:v>93.47656307560823</x:v>
      </x:c>
      <x:c r="K39" s="20" t="str">
        <x:f>'Monthly Master'!C39</x:f>
        <x:v>Validated analytical breakpoint; older/newer wave overlap possible</x:v>
      </x:c>
      <x:c r="L39" t="str">
        <x:f>TEXT(A39,"mmm-yy")</x:f>
        <x:v>Feb-22</x:v>
      </x:c>
      <x:c r="M39" s="39" t="n">
        <x:f>'Monthly Master'!L39/'Monthly Master'!$L$2*100</x:f>
        <x:v>119.55013020833334</x:v>
      </x:c>
      <x:c r="N39" s="40" t="n">
        <x:v>118.08105567138963</x:v>
      </x:c>
    </x:row>
    <x:row r="40">
      <x:c r="A40" s="21" t="n">
        <x:f>'Monthly Master'!A40</x:f>
        <x:v>44621</x:v>
      </x:c>
      <x:c r="B40" s="40" t="n">
        <x:f>'Monthly Master'!B40/'Monthly Master'!$B$2*100</x:f>
        <x:v>115.00750375187594</x:v>
      </x:c>
      <x:c r="C40" s="40" t="n">
        <x:f>'Monthly Master'!D40/'Monthly Master'!$D$2*100</x:f>
        <x:v>131.02017654476668</x:v>
      </x:c>
      <x:c r="D40" s="40" t="n">
        <x:f>'Monthly Master'!E40/'Monthly Master'!$E$2*100</x:f>
        <x:v>109.42343749999999</x:v>
      </x:c>
      <x:c r="E40" s="40" t="n">
        <x:f>'Monthly Master'!F40/'Monthly Master'!$F$2*100</x:f>
        <x:v>126.2498269896194</x:v>
      </x:c>
      <x:c r="F40" s="40" t="n">
        <x:f>'Monthly Master'!G40/'Monthly Master'!$G$2*100</x:f>
        <x:v>113.16179879462216</x:v>
      </x:c>
      <x:c r="G40" s="40" t="n">
        <x:f>'Monthly Master'!H40/'Monthly Master'!$H$2*100</x:f>
        <x:v>120.77924031590823</x:v>
      </x:c>
      <x:c r="H40" s="40" t="n">
        <x:f>'Monthly Master'!I40/'Monthly Master'!$I$2*100</x:f>
        <x:v>121.74050632911393</x:v>
      </x:c>
      <x:c r="I40" s="40" t="n">
        <x:f>'Monthly Master'!J40/'Monthly Master'!$J$2*100</x:f>
        <x:v>119.98155662117298</x:v>
      </x:c>
      <x:c r="J40" s="40" t="n">
        <x:f>'Monthly Master'!K40/'Monthly Master'!$K$2*100</x:f>
        <x:v>93.4912986458011</x:v>
      </x:c>
      <x:c r="K40" s="20" t="str">
        <x:f>'Monthly Master'!C40</x:f>
        <x:v>Validated analytical breakpoint; older/newer wave overlap possible</x:v>
      </x:c>
      <x:c r="L40" t="str">
        <x:f>TEXT(A40,"mmm-yy")</x:f>
        <x:v>Mar-22</x:v>
      </x:c>
      <x:c r="M40" s="39" t="n">
        <x:f>'Monthly Master'!L40/'Monthly Master'!$L$2*100</x:f>
        <x:v>116.03873697916667</x:v>
      </x:c>
      <x:c r="N40" s="40" t="n">
        <x:v>118.91577551520433</x:v>
      </x:c>
    </x:row>
    <x:row r="41">
      <x:c r="A41" s="21" t="n">
        <x:f>'Monthly Master'!A41</x:f>
        <x:v>44652</x:v>
      </x:c>
      <x:c r="B41" s="40" t="n">
        <x:f>'Monthly Master'!B41/'Monthly Master'!$B$2*100</x:f>
        <x:v>125.01250625312656</x:v>
      </x:c>
      <x:c r="C41" s="40" t="n">
        <x:f>'Monthly Master'!D41/'Monthly Master'!$D$2*100</x:f>
        <x:v>136.8575031525851</x:v>
      </x:c>
      <x:c r="D41" s="40" t="n">
        <x:f>'Monthly Master'!E41/'Monthly Master'!$E$2*100</x:f>
        <x:v>109.740625</x:v>
      </x:c>
      <x:c r="E41" s="40" t="n">
        <x:f>'Monthly Master'!F41/'Monthly Master'!$F$2*100</x:f>
        <x:v>132.19134948096888</x:v>
      </x:c>
      <x:c r="F41" s="40" t="n">
        <x:f>'Monthly Master'!G41/'Monthly Master'!$G$2*100</x:f>
        <x:v>114.20955030134445</x:v>
      </x:c>
      <x:c r="G41" s="40" t="n">
        <x:f>'Monthly Master'!H41/'Monthly Master'!$H$2*100</x:f>
        <x:v>123.91876645355397</x:v>
      </x:c>
      <x:c r="H41" s="40" t="n">
        <x:f>'Monthly Master'!I41/'Monthly Master'!$I$2*100</x:f>
        <x:v>123.98101265822785</x:v>
      </x:c>
      <x:c r="I41" s="40" t="n">
        <x:f>'Monthly Master'!J41/'Monthly Master'!$J$2*100</x:f>
        <x:v>123.73810402065656</x:v>
      </x:c>
      <x:c r="J41" s="40" t="n">
        <x:f>'Monthly Master'!K41/'Monthly Master'!$K$2*100</x:f>
        <x:v>94.76445191046668</x:v>
      </x:c>
      <x:c r="K41" s="20" t="str">
        <x:f>'Monthly Master'!C41</x:f>
        <x:v>Validated analytical breakpoint</x:v>
      </x:c>
      <x:c r="L41" t="str">
        <x:f>TEXT(A41,"mmm-yy")</x:f>
        <x:v>Apr-22</x:v>
      </x:c>
      <x:c r="M41" s="39" t="n">
        <x:f>'Monthly Master'!L41/'Monthly Master'!$L$2*100</x:f>
        <x:v>125.94856770833334</x:v>
      </x:c>
      <x:c r="N41" s="40" t="n">
        <x:v>121.46185835844571</x:v>
      </x:c>
    </x:row>
    <x:row r="42">
      <x:c r="A42" s="21" t="n">
        <x:f>'Monthly Master'!A42</x:f>
        <x:v>44682</x:v>
      </x:c>
      <x:c r="B42" s="40" t="n">
        <x:f>'Monthly Master'!B42/'Monthly Master'!$B$2*100</x:f>
        <x:v>125.01250625312656</x:v>
      </x:c>
      <x:c r="C42" s="40" t="n">
        <x:f>'Monthly Master'!D42/'Monthly Master'!$D$2*100</x:f>
        <x:v>138.89155107187895</x:v>
      </x:c>
      <x:c r="D42" s="40" t="n">
        <x:f>'Monthly Master'!E42/'Monthly Master'!$E$2*100</x:f>
        <x:v>110.58072916666666</x:v>
      </x:c>
      <x:c r="E42" s="40" t="n">
        <x:f>'Monthly Master'!F42/'Monthly Master'!$F$2*100</x:f>
        <x:v>133.43806228373703</x:v>
      </x:c>
      <x:c r="F42" s="40" t="n">
        <x:f>'Monthly Master'!G42/'Monthly Master'!$G$2*100</x:f>
        <x:v>118.2814093648586</x:v>
      </x:c>
      <x:c r="G42" s="40" t="n">
        <x:f>'Monthly Master'!H42/'Monthly Master'!$H$2*100</x:f>
        <x:v>124.6355772846935</x:v>
      </x:c>
      <x:c r="H42" s="40" t="n">
        <x:f>'Monthly Master'!I42/'Monthly Master'!$I$2*100</x:f>
        <x:v>127.38336347197108</x:v>
      </x:c>
      <x:c r="I42" s="40" t="n">
        <x:f>'Monthly Master'!J42/'Monthly Master'!$J$2*100</x:f>
        <x:v>126.51309479896715</x:v>
      </x:c>
      <x:c r="J42" s="40" t="n">
        <x:f>'Monthly Master'!K42/'Monthly Master'!$K$2*100</x:f>
        <x:v>98.71358472216083</x:v>
      </x:c>
      <x:c r="K42" s="20" t="str">
        <x:f>'Monthly Master'!C42</x:f>
        <x:v>Validated analytical breakpoint</x:v>
      </x:c>
      <x:c r="L42" t="str">
        <x:f>TEXT(A42,"mmm-yy")</x:f>
        <x:v>May-22</x:v>
      </x:c>
      <x:c r="M42" s="122" t="n">
        <x:f>'Monthly Master'!L42/'Monthly Master'!$L$2*100</x:f>
        <x:v>142.42740885416666</x:v>
      </x:c>
      <x:c r="N42" s="122" t="n">
        <x:v>124.20336123012258</x:v>
      </x:c>
      <x:c r="O42" s="57"/>
      <x:c r="P42" s="57"/>
      <x:c r="Q42" s="57"/>
      <x:c r="R42" s="57"/>
      <x:c r="S42" s="57"/>
      <x:c r="T42" s="57"/>
      <x:c r="U42" s="57"/>
      <x:c r="V42" s="57"/>
      <x:c r="W42" s="57"/>
    </x:row>
    <x:row r="43">
      <x:c r="A43" s="21" t="n">
        <x:f>'Monthly Master'!A43</x:f>
        <x:v>44713</x:v>
      </x:c>
      <x:c r="B43" s="40" t="n">
        <x:f>'Monthly Master'!B43/'Monthly Master'!$B$2*100</x:f>
        <x:v>125.01250625312656</x:v>
      </x:c>
      <x:c r="C43" s="40" t="n">
        <x:f>'Monthly Master'!D43/'Monthly Master'!$D$2*100</x:f>
        <x:v>140.5170239596469</x:v>
      </x:c>
      <x:c r="D43" s="40" t="n">
        <x:f>'Monthly Master'!E43/'Monthly Master'!$E$2*100</x:f>
        <x:v>110.79010416666668</x:v>
      </x:c>
      <x:c r="E43" s="40" t="n">
        <x:f>'Monthly Master'!F43/'Monthly Master'!$F$2*100</x:f>
        <x:v>135.18823529411765</x:v>
      </x:c>
      <x:c r="F43" s="40" t="n">
        <x:f>'Monthly Master'!G43/'Monthly Master'!$G$2*100</x:f>
        <x:v>117.48076031525268</x:v>
      </x:c>
      <x:c r="G43" s="40" t="n">
        <x:f>'Monthly Master'!H43/'Monthly Master'!$H$2*100</x:f>
        <x:v>128.52312899586312</x:v>
      </x:c>
      <x:c r="H43" s="40" t="n">
        <x:f>'Monthly Master'!I43/'Monthly Master'!$I$2*100</x:f>
        <x:v>128.26672694394213</x:v>
      </x:c>
      <x:c r="I43" s="40" t="n">
        <x:f>'Monthly Master'!J43/'Monthly Master'!$J$2*100</x:f>
        <x:v>126.76503135374399</x:v>
      </x:c>
      <x:c r="J43" s="40" t="n">
        <x:f>'Monthly Master'!K43/'Monthly Master'!$K$2*100</x:f>
        <x:v>98.65758955542785</x:v>
      </x:c>
      <x:c r="K43" s="20" t="str">
        <x:f>'Monthly Master'!C43</x:f>
        <x:v>Validated analytical breakpoint</x:v>
      </x:c>
      <x:c r="L43" t="str">
        <x:f>TEXT(A43,"mmm-yy")</x:f>
        <x:v>Jun-22</x:v>
      </x:c>
      <x:c r="M43" s="122" t="n">
        <x:f>'Monthly Master'!L43/'Monthly Master'!$L$2*100</x:f>
        <x:v>139.94140625</x:v>
      </x:c>
      <x:c r="N43" s="122" t="n">
        <x:v>125.25891190220048</x:v>
      </x:c>
      <x:c r="O43" s="57"/>
      <x:c r="P43" s="57"/>
      <x:c r="Q43" s="57"/>
      <x:c r="R43" s="57"/>
      <x:c r="S43" s="57"/>
      <x:c r="T43" s="57"/>
      <x:c r="U43" s="57"/>
      <x:c r="V43" s="57"/>
      <x:c r="W43" s="57"/>
    </x:row>
    <x:row r="44">
      <x:c r="A44" s="21" t="n">
        <x:f>'Monthly Master'!A44</x:f>
        <x:v>44743</x:v>
      </x:c>
      <x:c r="B44" s="40" t="n">
        <x:f>'Monthly Master'!B44/'Monthly Master'!$B$2*100</x:f>
        <x:v>125.01250625312656</x:v>
      </x:c>
      <x:c r="C44" s="40" t="n">
        <x:f>'Monthly Master'!D44/'Monthly Master'!$D$2*100</x:f>
        <x:v>137.05590584279108</x:v>
      </x:c>
      <x:c r="D44" s="40" t="n">
        <x:f>'Monthly Master'!E44/'Monthly Master'!$E$2*100</x:f>
        <x:v>111.23854166666666</x:v>
      </x:c>
      <x:c r="E44" s="40" t="n">
        <x:f>'Monthly Master'!F44/'Monthly Master'!$F$2*100</x:f>
        <x:v>137.45121107266436</x:v>
      </x:c>
      <x:c r="F44" s="40" t="n">
        <x:f>'Monthly Master'!G44/'Monthly Master'!$G$2*100</x:f>
        <x:v>117.57255447380624</x:v>
      </x:c>
      <x:c r="G44" s="40" t="n">
        <x:f>'Monthly Master'!H44/'Monthly Master'!$H$2*100</x:f>
        <x:v>129.35990974050398</x:v>
      </x:c>
      <x:c r="H44" s="40" t="n">
        <x:f>'Monthly Master'!I44/'Monthly Master'!$I$2*100</x:f>
        <x:v>129.66094032549728</x:v>
      </x:c>
      <x:c r="I44" s="40" t="n">
        <x:f>'Monthly Master'!J44/'Monthly Master'!$J$2*100</x:f>
        <x:v>127.01881224640354</x:v>
      </x:c>
      <x:c r="J44" s="40" t="n">
        <x:f>'Monthly Master'!K44/'Monthly Master'!$K$2*100</x:f>
        <x:v>99.2470123631434</x:v>
      </x:c>
      <x:c r="K44" s="20" t="str">
        <x:f>'Monthly Master'!C44</x:f>
        <x:v>Validated analytical breakpoint</x:v>
      </x:c>
      <x:c r="L44" t="str">
        <x:f>TEXT(A44,"mmm-yy")</x:f>
        <x:v>Jul-22</x:v>
      </x:c>
      <x:c r="M44" s="122" t="n">
        <x:f>'Monthly Master'!L44/'Monthly Master'!$L$2*100</x:f>
        <x:v>144.79296875</x:v>
      </x:c>
      <x:c r="N44" s="122" t="n">
        <x:v>125.90305419655276</x:v>
      </x:c>
      <x:c r="O44" s="57"/>
      <x:c r="P44" s="57"/>
      <x:c r="Q44" s="57"/>
      <x:c r="R44" s="57"/>
      <x:c r="S44" s="57"/>
      <x:c r="T44" s="57"/>
      <x:c r="U44" s="57"/>
      <x:c r="V44" s="57"/>
      <x:c r="W44" s="57"/>
    </x:row>
    <x:row r="45">
      <x:c r="A45" s="21" t="n">
        <x:f>'Monthly Master'!A45</x:f>
        <x:v>44774</x:v>
      </x:c>
      <x:c r="B45" s="40" t="n">
        <x:f>'Monthly Master'!B45/'Monthly Master'!$B$2*100</x:f>
        <x:v>125.01250625312656</x:v>
      </x:c>
      <x:c r="C45" s="40" t="n">
        <x:f>'Monthly Master'!D45/'Monthly Master'!$D$2*100</x:f>
        <x:v>132.23791509037412</x:v>
      </x:c>
      <x:c r="D45" s="40" t="n">
        <x:f>'Monthly Master'!E45/'Monthly Master'!$E$2*100</x:f>
        <x:v>111.6421875</x:v>
      </x:c>
      <x:c r="E45" s="40" t="n">
        <x:f>'Monthly Master'!F45/'Monthly Master'!$F$2*100</x:f>
        <x:v>138.88858131487888</x:v>
      </x:c>
      <x:c r="F45" s="40" t="n">
        <x:f>'Monthly Master'!G45/'Monthly Master'!$G$2*100</x:f>
        <x:v>120.34863235975892</x:v>
      </x:c>
      <x:c r="G45" s="40" t="n">
        <x:f>'Monthly Master'!H45/'Monthly Master'!$H$2*100</x:f>
        <x:v>131.68446784505454</x:v>
      </x:c>
      <x:c r="H45" s="40" t="n">
        <x:f>'Monthly Master'!I45/'Monthly Master'!$I$2*100</x:f>
        <x:v>135.63291139240505</x:v>
      </x:c>
      <x:c r="I45" s="40" t="n">
        <x:f>'Monthly Master'!J45/'Monthly Master'!$J$2*100</x:f>
        <x:v>128.4987089634821</x:v>
      </x:c>
      <x:c r="J45" s="40" t="n">
        <x:f>'Monthly Master'!K45/'Monthly Master'!$K$2*100</x:f>
        <x:v>100.2121922107776</x:v>
      </x:c>
      <x:c r="K45" s="20" t="str">
        <x:f>'Monthly Master'!C45</x:f>
        <x:v>Validated analytical breakpoint</x:v>
      </x:c>
      <x:c r="L45" t="str">
        <x:f>TEXT(A45,"mmm-yy")</x:f>
        <x:v>Aug-22</x:v>
      </x:c>
      <x:c r="M45" s="39" t="n">
        <x:f>'Monthly Master'!L45/'Monthly Master'!$L$2*100</x:f>
        <x:v>149.35384114583334</x:v>
      </x:c>
      <x:c r="N45" s="122" t="n">
        <x:v>129.04118014017516</x:v>
      </x:c>
      <x:c r="O45" s="57"/>
      <x:c r="P45" s="57"/>
      <x:c r="Q45" s="57"/>
      <x:c r="R45" s="57"/>
      <x:c r="S45" s="57"/>
      <x:c r="T45" s="57"/>
      <x:c r="U45" s="57"/>
      <x:c r="V45" s="57"/>
      <x:c r="W45" s="57"/>
    </x:row>
    <x:row r="46">
      <x:c r="A46" s="21" t="n">
        <x:f>'Monthly Master'!A46</x:f>
        <x:v>44805</x:v>
      </x:c>
      <x:c r="B46" s="40" t="n">
        <x:f>'Monthly Master'!B46/'Monthly Master'!$B$2*100</x:f>
        <x:v>125.01250625312656</x:v>
      </x:c>
      <x:c r="C46" s="40" t="n">
        <x:f>'Monthly Master'!D46/'Monthly Master'!$D$2*100</x:f>
        <x:v>130.55401429171923</x:v>
      </x:c>
      <x:c r="D46" s="40" t="n">
        <x:f>'Monthly Master'!E46/'Monthly Master'!$E$2*100</x:f>
        <x:v>112.08072916666667</x:v>
      </x:c>
      <x:c r="E46" s="40" t="n">
        <x:f>'Monthly Master'!F46/'Monthly Master'!$F$2*100</x:f>
        <x:v>140.36332179930795</x:v>
      </x:c>
      <x:c r="F46" s="40" t="n">
        <x:f>'Monthly Master'!G46/'Monthly Master'!$G$2*100</x:f>
        <x:v>119.74687065368568</x:v>
      </x:c>
      <x:c r="G46" s="40" t="n">
        <x:f>'Monthly Master'!H46/'Monthly Master'!$H$2*100</x:f>
        <x:v>132.62053403535162</x:v>
      </x:c>
      <x:c r="H46" s="40" t="n">
        <x:f>'Monthly Master'!I46/'Monthly Master'!$I$2*100</x:f>
        <x:v>136.36889692585896</x:v>
      </x:c>
      <x:c r="I46" s="40" t="n">
        <x:f>'Monthly Master'!J46/'Monthly Master'!$J$2*100</x:f>
        <x:v>128.5769088897086</x:v>
      </x:c>
      <x:c r="J46" s="40" t="n">
        <x:f>'Monthly Master'!K46/'Monthly Master'!$K$2*100</x:f>
        <x:v>103.43633496898164</x:v>
      </x:c>
      <x:c r="K46" s="20" t="str">
        <x:f>'Monthly Master'!C46</x:f>
        <x:v>Validated analytical breakpoint</x:v>
      </x:c>
      <x:c r="L46" t="str">
        <x:f>TEXT(A46,"mmm-yy")</x:f>
        <x:v>Sep-22</x:v>
      </x:c>
      <x:c r="M46" s="39" t="n">
        <x:f>'Monthly Master'!L46/'Monthly Master'!$L$2*100</x:f>
        <x:v>152.39453125</x:v>
      </x:c>
      <x:c r="N46" s="40" t="n">
        <x:v>129.3283026261512</x:v>
      </x:c>
    </x:row>
    <x:row r="47">
      <x:c r="A47" s="21" t="n">
        <x:f>'Monthly Master'!A47</x:f>
        <x:v>44835</x:v>
      </x:c>
      <x:c r="B47" s="40" t="n">
        <x:f>'Monthly Master'!B47/'Monthly Master'!$B$2*100</x:f>
        <x:v>125.01250625312656</x:v>
      </x:c>
      <x:c r="C47" s="40" t="n">
        <x:f>'Monthly Master'!D47/'Monthly Master'!$D$2*100</x:f>
        <x:v>127.14880201765449</x:v>
      </x:c>
      <x:c r="D47" s="40" t="n">
        <x:f>'Monthly Master'!E47/'Monthly Master'!$E$2*100</x:f>
        <x:v>112.38125</x:v>
      </x:c>
      <x:c r="E47" s="40" t="n">
        <x:f>'Monthly Master'!F47/'Monthly Master'!$F$2*100</x:f>
        <x:v>140.19134948096888</x:v>
      </x:c>
      <x:c r="F47" s="40" t="n">
        <x:f>'Monthly Master'!G47/'Monthly Master'!$G$2*100</x:f>
        <x:v>119.80018544274455</x:v>
      </x:c>
      <x:c r="G47" s="40" t="n">
        <x:f>'Monthly Master'!H47/'Monthly Master'!$H$2*100</x:f>
        <x:v>132.93155321549455</x:v>
      </x:c>
      <x:c r="H47" s="40" t="n">
        <x:f>'Monthly Master'!I47/'Monthly Master'!$I$2*100</x:f>
        <x:v>137.64737793851717</x:v>
      </x:c>
      <x:c r="I47" s="40" t="n">
        <x:f>'Monthly Master'!J47/'Monthly Master'!$J$2*100</x:f>
        <x:v>128.57174474363703</x:v>
      </x:c>
      <x:c r="J47" s="40" t="n">
        <x:f>'Monthly Master'!K47/'Monthly Master'!$K$2*100</x:f>
        <x:v>105.95169680090773</x:v>
      </x:c>
      <x:c r="K47" s="20" t="str">
        <x:f>'Monthly Master'!C47</x:f>
        <x:v>Validated analytical breakpoint</x:v>
      </x:c>
      <x:c r="L47" t="str">
        <x:f>TEXT(A47,"mmm-yy")</x:f>
        <x:v>Oct-22</x:v>
      </x:c>
      <x:c r="M47" s="39" t="n">
        <x:f>'Monthly Master'!L47/'Monthly Master'!$L$2*100</x:f>
        <x:v>152.37955729166669</x:v>
      </x:c>
      <x:c r="N47" s="40" t="n">
        <x:v>129.73771533509833</x:v>
      </x:c>
    </x:row>
    <x:row r="48">
      <x:c r="A48" s="21" t="n">
        <x:f>'Monthly Master'!A48</x:f>
        <x:v>44866</x:v>
      </x:c>
      <x:c r="B48" s="40" t="n">
        <x:f>'Monthly Master'!B48/'Monthly Master'!$B$2*100</x:f>
        <x:v>125.01250625312656</x:v>
      </x:c>
      <x:c r="C48" s="40" t="n">
        <x:f>'Monthly Master'!D48/'Monthly Master'!$D$2*100</x:f>
        <x:v>119.02480033627576</x:v>
      </x:c>
      <x:c r="D48" s="40" t="n">
        <x:f>'Monthly Master'!E48/'Monthly Master'!$E$2*100</x:f>
        <x:v>112.48906250000002</x:v>
      </x:c>
      <x:c r="E48" s="40" t="n">
        <x:f>'Monthly Master'!F48/'Monthly Master'!$F$2*100</x:f>
        <x:v>139.99826989619376</x:v>
      </x:c>
      <x:c r="F48" s="40" t="n">
        <x:f>'Monthly Master'!G48/'Monthly Master'!$G$2*100</x:f>
        <x:v>120.42234585071859</x:v>
      </x:c>
      <x:c r="G48" s="40" t="n">
        <x:f>'Monthly Master'!H48/'Monthly Master'!$H$2*100</x:f>
        <x:v>132.73373448664913</x:v>
      </x:c>
      <x:c r="H48" s="40" t="n">
        <x:f>'Monthly Master'!I48/'Monthly Master'!$I$2*100</x:f>
        <x:v>140.29385171790233</x:v>
      </x:c>
      <x:c r="I48" s="40" t="n">
        <x:f>'Monthly Master'!J48/'Monthly Master'!$J$2*100</x:f>
        <x:v>128.4629288085577</x:v>
      </x:c>
      <x:c r="J48" s="40" t="n">
        <x:f>'Monthly Master'!K48/'Monthly Master'!$K$2*100</x:f>
        <x:v>105.81907666917172</x:v>
      </x:c>
      <x:c r="K48" s="20" t="str">
        <x:f>'Monthly Master'!C48</x:f>
        <x:v>Validated analytical breakpoint</x:v>
      </x:c>
      <x:c r="L48" t="str">
        <x:f>TEXT(A48,"mmm-yy")</x:f>
        <x:v>Nov-22</x:v>
      </x:c>
      <x:c r="M48" s="39" t="n">
        <x:f>'Monthly Master'!L48/'Monthly Master'!$L$2*100</x:f>
        <x:v>150.359375</x:v>
      </x:c>
      <x:c r="N48" s="40" t="n">
        <x:v>130.47821521595694</x:v>
      </x:c>
    </x:row>
    <x:row r="49">
      <x:c r="A49" s="21" t="n">
        <x:f>'Monthly Master'!A49</x:f>
        <x:v>44896</x:v>
      </x:c>
      <x:c r="B49" s="40" t="n">
        <x:f>'Monthly Master'!B49/'Monthly Master'!$B$2*100</x:f>
        <x:v>125.01250625312656</x:v>
      </x:c>
      <x:c r="C49" s="40" t="n">
        <x:f>'Monthly Master'!D49/'Monthly Master'!$D$2*100</x:f>
        <x:v>117.35813366960907</x:v>
      </x:c>
      <x:c r="D49" s="40" t="n">
        <x:f>'Monthly Master'!E49/'Monthly Master'!$E$2*100</x:f>
        <x:v>112.709375</x:v>
      </x:c>
      <x:c r="E49" s="40" t="n">
        <x:f>'Monthly Master'!F49/'Monthly Master'!$F$2*100</x:f>
        <x:v>140.4657439446367</x:v>
      </x:c>
      <x:c r="F49" s="40" t="n">
        <x:f>'Monthly Master'!G49/'Monthly Master'!$G$2*100</x:f>
        <x:v>120.63792304126102</x:v>
      </x:c>
      <x:c r="G49" s="40" t="n">
        <x:f>'Monthly Master'!H49/'Monthly Master'!$H$2*100</x:f>
        <x:v>133.09890936442275</x:v>
      </x:c>
      <x:c r="H49" s="40" t="n">
        <x:f>'Monthly Master'!I49/'Monthly Master'!$I$2*100</x:f>
        <x:v>141.0867992766727</x:v>
      </x:c>
      <x:c r="I49" s="40" t="n">
        <x:f>'Monthly Master'!J49/'Monthly Master'!$J$2*100</x:f>
        <x:v>128.1272593139063</x:v>
      </x:c>
      <x:c r="J49" s="40" t="n">
        <x:f>'Monthly Master'!K49/'Monthly Master'!$K$2*100</x:f>
        <x:v>102.73197471376156</x:v>
      </x:c>
      <x:c r="K49" s="20" t="str">
        <x:f>'Monthly Master'!C49</x:f>
        <x:v>Validated analytical breakpoint</x:v>
      </x:c>
      <x:c r="L49" t="str">
        <x:f>TEXT(A49,"mmm-yy")</x:f>
        <x:v>Dec-22</x:v>
      </x:c>
      <x:c r="M49" s="39" t="n">
        <x:f>'Monthly Master'!L49/'Monthly Master'!$L$2*100</x:f>
        <x:v>149.53515625</x:v>
      </x:c>
      <x:c r="N49" s="40" t="n">
        <x:v>130.7377227490657</x:v>
      </x:c>
    </x:row>
    <x:row r="50">
      <x:c r="A50" s="21" t="n">
        <x:f>'Monthly Master'!A50</x:f>
        <x:v>44927</x:v>
      </x:c>
      <x:c r="B50" s="40" t="n">
        <x:f>'Monthly Master'!B50/'Monthly Master'!$B$2*100</x:f>
        <x:v>125.01250625312656</x:v>
      </x:c>
      <x:c r="C50" s="40" t="n">
        <x:f>'Monthly Master'!D50/'Monthly Master'!$D$2*100</x:f>
        <x:v>115.09541824295924</x:v>
      </x:c>
      <x:c r="D50" s="40" t="n">
        <x:f>'Monthly Master'!E50/'Monthly Master'!$E$2*100</x:f>
        <x:v>112.97656249999999</x:v>
      </x:c>
      <x:c r="E50" s="40" t="n">
        <x:f>'Monthly Master'!F50/'Monthly Master'!$F$2*100</x:f>
        <x:v>140.07301038062283</x:v>
      </x:c>
      <x:c r="F50" s="40" t="n">
        <x:f>'Monthly Master'!G50/'Monthly Master'!$G$2*100</x:f>
        <x:v>122.38479369494668</x:v>
      </x:c>
      <x:c r="G50" s="40" t="n">
        <x:f>'Monthly Master'!H50/'Monthly Master'!$H$2*100</x:f>
        <x:v>133.38435502068447</x:v>
      </x:c>
      <x:c r="H50" s="40" t="n">
        <x:f>'Monthly Master'!I50/'Monthly Master'!$I$2*100</x:f>
        <x:v>141.18987341772154</x:v>
      </x:c>
      <x:c r="I50" s="40" t="n">
        <x:f>'Monthly Master'!J50/'Monthly Master'!$J$2*100</x:f>
        <x:v>127.88823312430834</x:v>
      </x:c>
      <x:c r="J50" s="40" t="n">
        <x:f>'Monthly Master'!K50/'Monthly Master'!$K$2*100</x:f>
        <x:v>100.06041583779084</x:v>
      </x:c>
      <x:c r="K50" s="20" t="str">
        <x:f>'Monthly Master'!C50</x:f>
        <x:v>Validated analytical breakpoint</x:v>
      </x:c>
      <x:c r="L50" t="str">
        <x:f>TEXT(A50,"mmm-yy")</x:f>
        <x:v>Jan-23</x:v>
      </x:c>
      <x:c r="M50" s="39" t="n">
        <x:f>'Monthly Master'!L50/'Monthly Master'!$L$2*100</x:f>
        <x:v>141.02766927083334</x:v>
      </x:c>
      <x:c r="N50" s="40" t="n">
        <x:v>131.21181381441525</x:v>
      </x:c>
    </x:row>
    <x:row r="51">
      <x:c r="A51" s="21" t="n">
        <x:f>'Monthly Master'!A51</x:f>
        <x:v>44958</x:v>
      </x:c>
      <x:c r="B51" s="40" t="n">
        <x:f>'Monthly Master'!B51/'Monthly Master'!$B$2*100</x:f>
        <x:v>125.01250625312656</x:v>
      </x:c>
      <x:c r="C51" s="40" t="n">
        <x:f>'Monthly Master'!D51/'Monthly Master'!$D$2*100</x:f>
        <x:v>118.31778058007568</x:v>
      </x:c>
      <x:c r="D51" s="40" t="n">
        <x:f>'Monthly Master'!E51/'Monthly Master'!$E$2*100</x:f>
        <x:v>113.26770833333333</x:v>
      </x:c>
      <x:c r="E51" s="40" t="n">
        <x:f>'Monthly Master'!F51/'Monthly Master'!$F$2*100</x:f>
        <x:v>139.6114186851211</x:v>
      </x:c>
      <x:c r="F51" s="40" t="n">
        <x:f>'Monthly Master'!G51/'Monthly Master'!$G$2*100</x:f>
        <x:v>122.7218358831711</x:v>
      </x:c>
      <x:c r="G51" s="40" t="n">
        <x:f>'Monthly Master'!H51/'Monthly Master'!$H$2*100</x:f>
        <x:v>134.47875141030462</x:v>
      </x:c>
      <x:c r="H51" s="40" t="n">
        <x:f>'Monthly Master'!I51/'Monthly Master'!$I$2*100</x:f>
        <x:v>141.61663652802895</x:v>
      </x:c>
      <x:c r="I51" s="40" t="n">
        <x:f>'Monthly Master'!J51/'Monthly Master'!$J$2*100</x:f>
        <x:v>127.11545555145702</x:v>
      </x:c>
      <x:c r="J51" s="40" t="n">
        <x:f>'Monthly Master'!K51/'Monthly Master'!$K$2*100</x:f>
        <x:v>100.76182897897235</x:v>
      </x:c>
      <x:c r="K51" s="20" t="str">
        <x:f>'Monthly Master'!C51</x:f>
        <x:v>Validated analytical breakpoint</x:v>
      </x:c>
      <x:c r="L51" t="str">
        <x:f>TEXT(A51,"mmm-yy")</x:f>
        <x:v>Feb-23</x:v>
      </x:c>
      <x:c r="M51" s="39" t="n">
        <x:f>'Monthly Master'!L51/'Monthly Master'!$L$2*100</x:f>
        <x:v>145.48665364583334</x:v>
      </x:c>
      <x:c r="N51" s="40" t="n">
        <x:v>131.48316984324043</x:v>
      </x:c>
    </x:row>
    <x:row r="52">
      <x:c r="A52" s="21" t="n">
        <x:f>'Monthly Master'!A52</x:f>
        <x:v>44986</x:v>
      </x:c>
      <x:c r="B52" s="40" t="n">
        <x:f>'Monthly Master'!B52/'Monthly Master'!$B$2*100</x:f>
        <x:v>125.01250625312656</x:v>
      </x:c>
      <x:c r="C52" s="40" t="n">
        <x:f>'Monthly Master'!D52/'Monthly Master'!$D$2*100</x:f>
        <x:v>119.50693568726356</x:v>
      </x:c>
      <x:c r="D52" s="40" t="n">
        <x:f>'Monthly Master'!E52/'Monthly Master'!$E$2*100</x:f>
        <x:v>113.60572916666666</x:v>
      </x:c>
      <x:c r="E52" s="40" t="n">
        <x:f>'Monthly Master'!F52/'Monthly Master'!$F$2*100</x:f>
        <x:v>140.23979238754325</x:v>
      </x:c>
      <x:c r="F52" s="40" t="n">
        <x:f>'Monthly Master'!G52/'Monthly Master'!$G$2*100</x:f>
        <x:v>122.7315716272601</x:v>
      </x:c>
      <x:c r="G52" s="40" t="n">
        <x:f>'Monthly Master'!H52/'Monthly Master'!$H$2*100</x:f>
        <x:v>134.91538172245205</x:v>
      </x:c>
      <x:c r="H52" s="40" t="n">
        <x:f>'Monthly Master'!I52/'Monthly Master'!$I$2*100</x:f>
        <x:v>142.03797468354432</x:v>
      </x:c>
      <x:c r="I52" s="40" t="n">
        <x:f>'Monthly Master'!J52/'Monthly Master'!$J$2*100</x:f>
        <x:v>125.51272593139062</x:v>
      </x:c>
      <x:c r="J52" s="40" t="n">
        <x:f>'Monthly Master'!K52/'Monthly Master'!$K$2*100</x:f>
        <x:v>101.54134064217615</x:v>
      </x:c>
      <x:c r="K52" s="20" t="str">
        <x:f>'Monthly Master'!C52</x:f>
        <x:v>Validated analytical breakpoint</x:v>
      </x:c>
      <x:c r="L52" t="str">
        <x:f>TEXT(A52,"mmm-yy")</x:f>
        <x:v>Mar-23</x:v>
      </x:c>
      <x:c r="M52" s="39" t="n">
        <x:f>'Monthly Master'!L52/'Monthly Master'!$L$2*100</x:f>
        <x:v>131.30664062500003</x:v>
      </x:c>
      <x:c r="N52" s="40" t="n">
        <x:v>131.29941349116177</x:v>
      </x:c>
    </x:row>
    <x:row r="53">
      <x:c r="A53" s="21" t="n">
        <x:f>'Monthly Master'!A53</x:f>
        <x:v>45017</x:v>
      </x:c>
      <x:c r="B53" s="40" t="n">
        <x:f>'Monthly Master'!B53/'Monthly Master'!$B$2*100</x:f>
        <x:v>125.01250625312656</x:v>
      </x:c>
      <x:c r="C53" s="40" t="n">
        <x:f>'Monthly Master'!D53/'Monthly Master'!$D$2*100</x:f>
        <x:v>121.61496427070198</x:v>
      </x:c>
      <x:c r="D53" s="40" t="n">
        <x:f>'Monthly Master'!E53/'Monthly Master'!$E$2*100</x:f>
        <x:v>114.07499999999999</x:v>
      </x:c>
      <x:c r="E53" s="40" t="n">
        <x:f>'Monthly Master'!F53/'Monthly Master'!$F$2*100</x:f>
        <x:v>140.4114186851211</x:v>
      </x:c>
      <x:c r="F53" s="40" t="n">
        <x:f>'Monthly Master'!G53/'Monthly Master'!$G$2*100</x:f>
        <x:v>123.41956420955032</x:v>
      </x:c>
      <x:c r="G53" s="40" t="n">
        <x:f>'Monthly Master'!H53/'Monthly Master'!$H$2*100</x:f>
        <x:v>135.7393757051523</x:v>
      </x:c>
      <x:c r="H53" s="40" t="n">
        <x:f>'Monthly Master'!I53/'Monthly Master'!$I$2*100</x:f>
        <x:v>143.63381555153708</x:v>
      </x:c>
      <x:c r="I53" s="40" t="n">
        <x:f>'Monthly Master'!J53/'Monthly Master'!$J$2*100</x:f>
        <x:v>123.92954629288084</x:v>
      </x:c>
      <x:c r="J53" s="40" t="n">
        <x:f>'Monthly Master'!K53/'Monthly Master'!$K$2*100</x:f>
        <x:v>101.49271326053962</x:v>
      </x:c>
      <x:c r="K53" s="20" t="str">
        <x:f>'Monthly Master'!C53</x:f>
        <x:v>Validated analytical breakpoint</x:v>
      </x:c>
      <x:c r="L53" t="str">
        <x:f>TEXT(A53,"mmm-yy")</x:f>
        <x:v>Apr-23</x:v>
      </x:c>
      <x:c r="M53" s="39" t="n">
        <x:f>'Monthly Master'!L53/'Monthly Master'!$L$2*100</x:f>
        <x:v>130.51529947916666</x:v>
      </x:c>
      <x:c r="N53" s="40" t="n">
        <x:v>131.68057543978014</x:v>
      </x:c>
    </x:row>
    <x:row r="54">
      <x:c r="A54" s="21" t="n">
        <x:f>'Monthly Master'!A54</x:f>
        <x:v>45047</x:v>
      </x:c>
      <x:c r="B54" s="40" t="n">
        <x:f>'Monthly Master'!B54/'Monthly Master'!$B$2*100</x:f>
        <x:v>125.01250625312656</x:v>
      </x:c>
      <x:c r="C54" s="40" t="n">
        <x:f>'Monthly Master'!D54/'Monthly Master'!$D$2*100</x:f>
        <x:v>121.05296343001261</x:v>
      </x:c>
      <x:c r="D54" s="40" t="n">
        <x:f>'Monthly Master'!E54/'Monthly Master'!$E$2*100</x:f>
        <x:v>114.31093750000001</x:v>
      </x:c>
      <x:c r="E54" s="40" t="n">
        <x:f>'Monthly Master'!F54/'Monthly Master'!$F$2*100</x:f>
        <x:v>141.0743944636678</x:v>
      </x:c>
      <x:c r="F54" s="40" t="n">
        <x:f>'Monthly Master'!G54/'Monthly Master'!$G$2*100</x:f>
        <x:v>123.38757533611498</x:v>
      </x:c>
      <x:c r="G54" s="40" t="n">
        <x:f>'Monthly Master'!H54/'Monthly Master'!$H$2*100</x:f>
        <x:v>135.8931929296728</x:v>
      </x:c>
      <x:c r="H54" s="40" t="n">
        <x:f>'Monthly Master'!I54/'Monthly Master'!$I$2*100</x:f>
        <x:v>146.30741410488247</x:v>
      </x:c>
      <x:c r="I54" s="40" t="n">
        <x:f>'Monthly Master'!J54/'Monthly Master'!$J$2*100</x:f>
        <x:v>123.81372187384727</x:v>
      </x:c>
      <x:c r="J54" s="40" t="n">
        <x:f>'Monthly Master'!K54/'Monthly Master'!$K$2*100</x:f>
        <x:v>102.93385202540412</x:v>
      </x:c>
      <x:c r="K54" s="20" t="str">
        <x:f>'Monthly Master'!C54</x:f>
        <x:v>Validated analytical breakpoint</x:v>
      </x:c>
      <x:c r="L54" t="str">
        <x:f>TEXT(A54,"mmm-yy")</x:f>
        <x:v>May-23</x:v>
      </x:c>
      <x:c r="M54" s="39" t="n">
        <x:f>'Monthly Master'!L54/'Monthly Master'!$L$2*100</x:f>
        <x:v>141.41276041666669</x:v>
      </x:c>
      <x:c r="N54" s="40" t="n">
        <x:v>132.35047606112937</x:v>
      </x:c>
    </x:row>
    <x:row r="55">
      <x:c r="A55" s="21" t="n">
        <x:f>'Monthly Master'!A55</x:f>
        <x:v>45078</x:v>
      </x:c>
      <x:c r="B55" s="40" t="n">
        <x:f>'Monthly Master'!B55/'Monthly Master'!$B$2*100</x:f>
        <x:v>125.01250625312656</x:v>
      </x:c>
      <x:c r="C55" s="40" t="n">
        <x:f>'Monthly Master'!D55/'Monthly Master'!$D$2*100</x:f>
        <x:v>118.58217738545609</x:v>
      </x:c>
      <x:c r="D55" s="40" t="n">
        <x:f>'Monthly Master'!E55/'Monthly Master'!$E$2*100</x:f>
        <x:v>115.63958333333333</x:v>
      </x:c>
      <x:c r="E55" s="40" t="n">
        <x:f>'Monthly Master'!F55/'Monthly Master'!$F$2*100</x:f>
        <x:v>140.79930795847753</x:v>
      </x:c>
      <x:c r="F55" s="40" t="n">
        <x:f>'Monthly Master'!G55/'Monthly Master'!$G$2*100</x:f>
        <x:v>123.40287436254059</x:v>
      </x:c>
      <x:c r="G55" s="40" t="n">
        <x:f>'Monthly Master'!H55/'Monthly Master'!$H$2*100</x:f>
        <x:v>135.61639714178264</x:v>
      </x:c>
      <x:c r="H55" s="40" t="n">
        <x:f>'Monthly Master'!I55/'Monthly Master'!$I$2*100</x:f>
        <x:v>146.32820976491863</x:v>
      </x:c>
      <x:c r="I55" s="40" t="n">
        <x:f>'Monthly Master'!J55/'Monthly Master'!$J$2*100</x:f>
        <x:v>121.59572113611212</x:v>
      </x:c>
      <x:c r="J55" s="40" t="n">
        <x:f>'Monthly Master'!K55/'Monthly Master'!$K$2*100</x:f>
        <x:v>105.52731237935254</x:v>
      </x:c>
      <x:c r="K55" s="20" t="str">
        <x:f>'Monthly Master'!C55</x:f>
        <x:v>Validated analytical breakpoint</x:v>
      </x:c>
      <x:c r="L55" t="str">
        <x:f>TEXT(A55,"mmm-yy")</x:f>
        <x:v>Jun-23</x:v>
      </x:c>
      <x:c r="M55" s="39" t="n">
        <x:f>'Monthly Master'!L55/'Monthly Master'!$L$2*100</x:f>
        <x:v>134.05045572916669</x:v>
      </x:c>
      <x:c r="N55" s="40" t="n">
        <x:v>131.7358006013385</x:v>
      </x:c>
    </x:row>
    <x:row r="56">
      <x:c r="A56" s="21" t="n">
        <x:f>'Monthly Master'!A56</x:f>
        <x:v>45108</x:v>
      </x:c>
      <x:c r="B56" s="40" t="n">
        <x:f>'Monthly Master'!B56/'Monthly Master'!$B$2*100</x:f>
        <x:v>125.01250625312656</x:v>
      </x:c>
      <x:c r="C56" s="40" t="n">
        <x:f>'Monthly Master'!D56/'Monthly Master'!$D$2*100</x:f>
        <x:v>114.75367801597312</x:v>
      </x:c>
      <x:c r="D56" s="40" t="n">
        <x:f>'Monthly Master'!E56/'Monthly Master'!$E$2*100</x:f>
        <x:v>115.83385416666667</x:v>
      </x:c>
      <x:c r="E56" s="40" t="n">
        <x:f>'Monthly Master'!F56/'Monthly Master'!$F$2*100</x:f>
        <x:v>139.28096885813147</x:v>
      </x:c>
      <x:c r="F56" s="40" t="n">
        <x:f>'Monthly Master'!G56/'Monthly Master'!$G$2*100</x:f>
        <x:v>123.92535929531758</x:v>
      </x:c>
      <x:c r="G56" s="40" t="n">
        <x:f>'Monthly Master'!H56/'Monthly Master'!$H$2*100</x:f>
        <x:v>135.48552087250846</x:v>
      </x:c>
      <x:c r="H56" s="40" t="n">
        <x:f>'Monthly Master'!I56/'Monthly Master'!$I$2*100</x:f>
        <x:v>146.2124773960217</x:v>
      </x:c>
      <x:c r="I56" s="40" t="n">
        <x:f>'Monthly Master'!J56/'Monthly Master'!$J$2*100</x:f>
        <x:v>121.07598672076725</x:v>
      </x:c>
      <x:c r="J56" s="40" t="n">
        <x:f>'Monthly Master'!K56/'Monthly Master'!$K$2*100</x:f>
        <x:v>105.89422807715545</x:v>
      </x:c>
      <x:c r="K56" s="20" t="str">
        <x:f>'Monthly Master'!C56</x:f>
        <x:v>Validated analytical breakpoint</x:v>
      </x:c>
      <x:c r="L56" t="str">
        <x:f>TEXT(A56,"mmm-yy")</x:f>
        <x:v>Jul-23</x:v>
      </x:c>
      <x:c r="M56" s="39" t="n">
        <x:f>'Monthly Master'!L56/'Monthly Master'!$L$2*100</x:f>
        <x:v>142.18229166666669</x:v>
      </x:c>
      <x:c r="N56" s="40" t="n">
        <x:v>131.67483607115375</x:v>
      </x:c>
    </x:row>
    <x:row r="57">
      <x:c r="A57" s="21" t="n">
        <x:f>'Monthly Master'!A57</x:f>
        <x:v>45139</x:v>
      </x:c>
      <x:c r="B57" s="40" t="n">
        <x:f>'Monthly Master'!B57/'Monthly Master'!$B$2*100</x:f>
        <x:v>125.01250625312656</x:v>
      </x:c>
      <x:c r="C57" s="40" t="n">
        <x:f>'Monthly Master'!D57/'Monthly Master'!$D$2*100</x:f>
        <x:v>113.06305170239594</x:v>
      </x:c>
      <x:c r="D57" s="40" t="n">
        <x:f>'Monthly Master'!E57/'Monthly Master'!$E$2*100</x:f>
        <x:v>116.70833333333334</x:v>
      </x:c>
      <x:c r="E57" s="40" t="n">
        <x:f>'Monthly Master'!F57/'Monthly Master'!$F$2*100</x:f>
        <x:v>140.60346020761244</x:v>
      </x:c>
      <x:c r="F57" s="40" t="n">
        <x:f>'Monthly Master'!G57/'Monthly Master'!$G$2*100</x:f>
        <x:v>122.80992118683358</x:v>
      </x:c>
      <x:c r="G57" s="40" t="n">
        <x:f>'Monthly Master'!H57/'Monthly Master'!$H$2*100</x:f>
        <x:v>135.07484016547576</x:v>
      </x:c>
      <x:c r="H57" s="40" t="n">
        <x:f>'Monthly Master'!I57/'Monthly Master'!$I$2*100</x:f>
        <x:v>146.1473779385172</x:v>
      </x:c>
      <x:c r="I57" s="40" t="n">
        <x:f>'Monthly Master'!J57/'Monthly Master'!$J$2*100</x:f>
        <x:v>120.00737735153078</x:v>
      </x:c>
      <x:c r="J57" s="40" t="n">
        <x:f>'Monthly Master'!K57/'Monthly Master'!$K$2*100</x:f>
        <x:v>106.81225410017241</x:v>
      </x:c>
      <x:c r="K57" s="20" t="str">
        <x:f>'Monthly Master'!C57</x:f>
        <x:v>Validated analytical breakpoint</x:v>
      </x:c>
      <x:c r="L57" t="str">
        <x:f>TEXT(A57,"mmm-yy")</x:f>
        <x:v>Aug-23</x:v>
      </x:c>
      <x:c r="M57" s="39" t="n">
        <x:f>'Monthly Master'!L57/'Monthly Master'!$L$2*100</x:f>
        <x:v>147.35970052083334</x:v>
      </x:c>
      <x:c r="N57" s="40" t="n">
        <x:v>131.00987916058932</x:v>
      </x:c>
    </x:row>
    <x:row r="58">
      <x:c r="A58" s="21" t="n">
        <x:f>'Monthly Master'!A58</x:f>
        <x:v>45170</x:v>
      </x:c>
      <x:c r="B58" s="40" t="n">
        <x:f>'Monthly Master'!B58/'Monthly Master'!$B$2*100</x:f>
        <x:v>125.01250625312656</x:v>
      </x:c>
      <x:c r="C58" s="40" t="n">
        <x:f>'Monthly Master'!D58/'Monthly Master'!$D$2*100</x:f>
        <x:v>112.81799075241699</x:v>
      </x:c>
      <x:c r="D58" s="40" t="n">
        <x:f>'Monthly Master'!E58/'Monthly Master'!$E$2*100</x:f>
        <x:v>116.70833333333334</x:v>
      </x:c>
      <x:c r="E58" s="40" t="n">
        <x:f>'Monthly Master'!F58/'Monthly Master'!$F$2*100</x:f>
        <x:v>140.1764705882353</x:v>
      </x:c>
      <x:c r="F58" s="40" t="n">
        <x:f>'Monthly Master'!G58/'Monthly Master'!$G$2*100</x:f>
        <x:v>122.66944830783497</x:v>
      </x:c>
      <x:c r="G58" s="40" t="n">
        <x:f>'Monthly Master'!H58/'Monthly Master'!$H$2*100</x:f>
        <x:v>135.24896577660778</x:v>
      </x:c>
      <x:c r="H58" s="40" t="n">
        <x:f>'Monthly Master'!I58/'Monthly Master'!$I$2*100</x:f>
        <x:v>145.67088607594937</x:v>
      </x:c>
      <x:c r="I58" s="40" t="n">
        <x:f>'Monthly Master'!J58/'Monthly Master'!$J$2*100</x:f>
        <x:v>119.90261895979341</x:v>
      </x:c>
      <x:c r="J58" s="40" t="n">
        <x:f>'Monthly Master'!K58/'Monthly Master'!$K$2*100</x:f>
        <x:v>107.53871771068182</x:v>
      </x:c>
      <x:c r="K58" s="20" t="str">
        <x:f>'Monthly Master'!C58</x:f>
        <x:v>Validated analytical breakpoint</x:v>
      </x:c>
      <x:c r="L58" t="str">
        <x:f>TEXT(A58,"mmm-yy")</x:f>
        <x:v>Sep-23</x:v>
      </x:c>
      <x:c r="M58" s="39" t="n">
        <x:f>'Monthly Master'!L58/'Monthly Master'!$L$2*100</x:f>
        <x:v>140.7958984375</x:v>
      </x:c>
      <x:c r="N58" s="40" t="n">
        <x:v>130.8729797800464</x:v>
      </x:c>
    </x:row>
    <x:row r="59">
      <x:c r="A59" s="21" t="n">
        <x:f>'Monthly Master'!A59</x:f>
        <x:v>45200</x:v>
      </x:c>
      <x:c r="B59" s="40" t="n">
        <x:f>'Monthly Master'!B59/'Monthly Master'!$B$2*100</x:f>
        <x:v>125.01250625312656</x:v>
      </x:c>
      <x:c r="C59" s="40" t="n">
        <x:f>'Monthly Master'!D59/'Monthly Master'!$D$2*100</x:f>
        <x:v>112.69482976040352</x:v>
      </x:c>
      <x:c r="D59" s="40" t="n">
        <x:f>'Monthly Master'!E59/'Monthly Master'!$E$2*100</x:f>
        <x:v>116.70833333333334</x:v>
      </x:c>
      <x:c r="E59" s="40" t="n">
        <x:f>'Monthly Master'!F59/'Monthly Master'!$F$2*100</x:f>
        <x:v>138.68373702422144</x:v>
      </x:c>
      <x:c r="F59" s="40" t="n">
        <x:f>'Monthly Master'!G59/'Monthly Master'!$G$2*100</x:f>
        <x:v>122.96383866481224</x:v>
      </x:c>
      <x:c r="G59" s="40" t="n">
        <x:f>'Monthly Master'!H59/'Monthly Master'!$H$2*100</x:f>
        <x:v>135.32982324182024</x:v>
      </x:c>
      <x:c r="H59" s="40" t="n">
        <x:f>'Monthly Master'!I59/'Monthly Master'!$I$2*100</x:f>
        <x:v>145.49095840867994</x:v>
      </x:c>
      <x:c r="I59" s="40" t="n">
        <x:f>'Monthly Master'!J59/'Monthly Master'!$J$2*100</x:f>
        <x:v>119.9144227222427</x:v>
      </x:c>
      <x:c r="J59" s="40" t="n">
        <x:f>'Monthly Master'!K59/'Monthly Master'!$K$2*100</x:f>
        <x:v>107.67428495645639</x:v>
      </x:c>
      <x:c r="K59" s="20" t="str">
        <x:f>'Monthly Master'!C59</x:f>
        <x:v>Validated analytical breakpoint</x:v>
      </x:c>
      <x:c r="L59" t="str">
        <x:f>TEXT(A59,"mmm-yy")</x:f>
        <x:v>Oct-23</x:v>
      </x:c>
      <x:c r="M59" s="39" t="n">
        <x:f>'Monthly Master'!L59/'Monthly Master'!$L$2*100</x:f>
        <x:v>133.11197916666669</x:v>
      </x:c>
      <x:c r="N59" s="40" t="n">
        <x:v>130.9247607593888</x:v>
      </x:c>
    </x:row>
    <x:row r="60">
      <x:c r="A60" s="21" t="n">
        <x:f>'Monthly Master'!A60</x:f>
        <x:v>45231</x:v>
      </x:c>
      <x:c r="B60" s="40" t="n">
        <x:f>'Monthly Master'!B60/'Monthly Master'!$B$2*100</x:f>
        <x:v>125.01250625312656</x:v>
      </x:c>
      <x:c r="C60" s="40" t="n">
        <x:f>'Monthly Master'!D60/'Monthly Master'!$D$2*100</x:f>
        <x:v>113.06094997898275</x:v>
      </x:c>
      <x:c r="D60" s="40" t="n">
        <x:f>'Monthly Master'!E60/'Monthly Master'!$E$2*100</x:f>
        <x:v>116.70833333333334</x:v>
      </x:c>
      <x:c r="E60" s="40" t="n">
        <x:f>'Monthly Master'!F60/'Monthly Master'!$F$2*100</x:f>
        <x:v>138.90138408304497</x:v>
      </x:c>
      <x:c r="F60" s="40" t="n">
        <x:f>'Monthly Master'!G60/'Monthly Master'!$G$2*100</x:f>
        <x:v>124.11868335651369</x:v>
      </x:c>
      <x:c r="G60" s="40" t="n">
        <x:f>'Monthly Master'!H60/'Monthly Master'!$H$2*100</x:f>
        <x:v>135.29823241820233</x:v>
      </x:c>
      <x:c r="H60" s="40" t="n">
        <x:f>'Monthly Master'!I60/'Monthly Master'!$I$2*100</x:f>
        <x:v>143.8372513562387</x:v>
      </x:c>
      <x:c r="I60" s="40" t="n">
        <x:f>'Monthly Master'!J60/'Monthly Master'!$J$2*100</x:f>
        <x:v>119.92032460346734</x:v>
      </x:c>
      <x:c r="J60" s="40" t="n">
        <x:f>'Monthly Master'!K60/'Monthly Master'!$K$2*100</x:f>
        <x:v>106.42912927515731</x:v>
      </x:c>
      <x:c r="K60" s="20" t="str">
        <x:f>'Monthly Master'!C60</x:f>
        <x:v>Validated analytical breakpoint</x:v>
      </x:c>
      <x:c r="L60" t="str">
        <x:f>TEXT(A60,"mmm-yy")</x:f>
        <x:v>Nov-23</x:v>
      </x:c>
      <x:c r="M60" s="39" t="n">
        <x:f>'Monthly Master'!L60/'Monthly Master'!$L$2*100</x:f>
        <x:v>128.97884114583334</x:v>
      </x:c>
      <x:c r="N60" s="40" t="n">
        <x:v>130.79362293360552</x:v>
      </x:c>
    </x:row>
    <x:row r="61">
      <x:c r="A61" s="21" t="n">
        <x:f>'Monthly Master'!A61</x:f>
        <x:v>45261</x:v>
      </x:c>
      <x:c r="B61" s="40" t="n">
        <x:f>'Monthly Master'!B61/'Monthly Master'!$B$2*100</x:f>
        <x:v>125.01250625312656</x:v>
      </x:c>
      <x:c r="C61" s="40" t="n">
        <x:f>'Monthly Master'!D61/'Monthly Master'!$D$2*100</x:f>
        <x:v>112.57881462799494</x:v>
      </x:c>
      <x:c r="D61" s="40" t="n">
        <x:f>'Monthly Master'!E61/'Monthly Master'!$E$2*100</x:f>
        <x:v>116.70833333333334</x:v>
      </x:c>
      <x:c r="E61" s="40" t="n">
        <x:f>'Monthly Master'!F61/'Monthly Master'!$F$2*100</x:f>
        <x:v>138.77093425605537</x:v>
      </x:c>
      <x:c r="F61" s="40" t="n">
        <x:f>'Monthly Master'!G61/'Monthly Master'!$G$2*100</x:f>
        <x:v>124.37737598516459</x:v>
      </x:c>
      <x:c r="G61" s="40" t="n">
        <x:f>'Monthly Master'!H61/'Monthly Master'!$H$2*100</x:f>
        <x:v>135.03760812335466</x:v>
      </x:c>
      <x:c r="H61" s="40" t="n">
        <x:f>'Monthly Master'!I61/'Monthly Master'!$I$2*100</x:f>
        <x:v>143.38065099457506</x:v>
      </x:c>
      <x:c r="I61" s="40" t="n">
        <x:f>'Monthly Master'!J61/'Monthly Master'!$J$2*100</x:f>
        <x:v>119.84396901512355</x:v>
      </x:c>
      <x:c r="J61" s="40" t="n">
        <x:f>'Monthly Master'!K61/'Monthly Master'!$K$2*100</x:f>
        <x:v>105.21491829126329</x:v>
      </x:c>
      <x:c r="K61" s="20" t="str">
        <x:f>'Monthly Master'!C61</x:f>
        <x:v>Validated analytical breakpoint</x:v>
      </x:c>
      <x:c r="L61" t="str">
        <x:f>TEXT(A61,"mmm-yy")</x:f>
        <x:v>Dec-23</x:v>
      </x:c>
      <x:c r="M61" s="39" t="n">
        <x:f>'Monthly Master'!L61/'Monthly Master'!$L$2*100</x:f>
        <x:v>132.95442708333334</x:v>
      </x:c>
      <x:c r="N61" s="40" t="n">
        <x:v>130.65990102955448</x:v>
      </x:c>
    </x:row>
    <x:row r="62">
      <x:c r="A62" s="21" t="n">
        <x:f>'Monthly Master'!A62</x:f>
        <x:v>45292</x:v>
      </x:c>
      <x:c r="B62" s="40" t="n">
        <x:f>'Monthly Master'!B62/'Monthly Master'!$B$2*100</x:f>
        <x:v>125.01250625312656</x:v>
      </x:c>
      <x:c r="C62" s="40" t="n">
        <x:f>'Monthly Master'!D62/'Monthly Master'!$D$2*100</x:f>
        <x:v>111.20891130727195</x:v>
      </x:c>
      <x:c r="D62" s="40" t="n">
        <x:f>'Monthly Master'!E62/'Monthly Master'!$E$2*100</x:f>
        <x:v>119.99791666666665</x:v>
      </x:c>
      <x:c r="E62" s="40" t="n">
        <x:f>'Monthly Master'!F62/'Monthly Master'!$F$2*100</x:f>
        <x:v>138.62629757785467</x:v>
      </x:c>
      <x:c r="F62" s="40" t="n">
        <x:f>'Monthly Master'!G62/'Monthly Master'!$G$2*100</x:f>
        <x:v>124.2280945757997</x:v>
      </x:c>
      <x:c r="G62" s="40" t="n">
        <x:f>'Monthly Master'!H62/'Monthly Master'!$H$2*100</x:f>
        <x:v>135.21737495298987</x:v>
      </x:c>
      <x:c r="H62" s="40" t="n">
        <x:f>'Monthly Master'!I62/'Monthly Master'!$I$2*100</x:f>
        <x:v>145.19349005424957</x:v>
      </x:c>
      <x:c r="I62" s="40" t="n">
        <x:f>'Monthly Master'!J62/'Monthly Master'!$J$2*100</x:f>
        <x:v>118.1320545924013</x:v>
      </x:c>
      <x:c r="J62" s="40" t="n">
        <x:f>'Monthly Master'!K62/'Monthly Master'!$K$2*100</x:f>
        <x:v>105.6643531821464</x:v>
      </x:c>
      <x:c r="K62" s="20" t="str">
        <x:f>'Monthly Master'!C62</x:f>
        <x:v>Validated analytical breakpoint</x:v>
      </x:c>
      <x:c r="L62" t="str">
        <x:f>TEXT(A62,"mmm-yy")</x:f>
        <x:v>Jan-24</x:v>
      </x:c>
      <x:c r="M62" s="39" t="n">
        <x:f>'Monthly Master'!L62/'Monthly Master'!$L$2*100</x:f>
        <x:v>136.78255208333334</x:v>
      </x:c>
      <x:c r="N62" s="40" t="n">
        <x:v>130.6927535438601</x:v>
      </x:c>
    </x:row>
    <x:row r="63">
      <x:c r="A63" s="21" t="n">
        <x:f>'Monthly Master'!A63</x:f>
        <x:v>45323</x:v>
      </x:c>
      <x:c r="B63" s="40" t="n">
        <x:f>'Monthly Master'!B63/'Monthly Master'!$B$2*100</x:f>
        <x:v>125.01250625312656</x:v>
      </x:c>
      <x:c r="C63" s="40" t="n">
        <x:f>'Monthly Master'!D63/'Monthly Master'!$D$2*100</x:f>
        <x:v>113.74401008827238</x:v>
      </x:c>
      <x:c r="D63" s="40" t="n">
        <x:f>'Monthly Master'!E63/'Monthly Master'!$E$2*100</x:f>
        <x:v>119.42031250000001</x:v>
      </x:c>
      <x:c r="E63" s="40" t="n">
        <x:f>'Monthly Master'!F63/'Monthly Master'!$F$2*100</x:f>
        <x:v>138.47474048442908</x:v>
      </x:c>
      <x:c r="F63" s="40" t="n">
        <x:f>'Monthly Master'!G63/'Monthly Master'!$G$2*100</x:f>
        <x:v>123.75753361149746</x:v>
      </x:c>
      <x:c r="G63" s="40" t="n">
        <x:f>'Monthly Master'!H63/'Monthly Master'!$H$2*100</x:f>
        <x:v>134.59232794283565</x:v>
      </x:c>
      <x:c r="H63" s="40" t="n">
        <x:f>'Monthly Master'!I63/'Monthly Master'!$I$2*100</x:f>
        <x:v>146.66003616636527</x:v>
      </x:c>
      <x:c r="I63" s="40" t="n">
        <x:f>'Monthly Master'!J63/'Monthly Master'!$J$2*100</x:f>
        <x:v>117.68720029509406</x:v>
      </x:c>
      <x:c r="J63" s="40" t="n">
        <x:f>'Monthly Master'!K63/'Monthly Master'!$K$2*100</x:f>
        <x:v>106.00032418254426</x:v>
      </x:c>
      <x:c r="K63" s="20" t="str">
        <x:f>'Monthly Master'!C63</x:f>
        <x:v>Validated analytical breakpoint</x:v>
      </x:c>
      <x:c r="L63" t="str">
        <x:f>TEXT(A63,"mmm-yy")</x:f>
        <x:v>Feb-24</x:v>
      </x:c>
      <x:c r="M63" s="39" t="n">
        <x:f>'Monthly Master'!L63/'Monthly Master'!$L$2*100</x:f>
        <x:v>133.5263671875</x:v>
      </x:c>
      <x:c r="N63" s="40" t="n">
        <x:v>130.6742745039481</x:v>
      </x:c>
    </x:row>
    <x:row r="64">
      <x:c r="A64" s="21" t="n">
        <x:f>'Monthly Master'!A64</x:f>
        <x:v>45352</x:v>
      </x:c>
      <x:c r="B64" s="40" t="n">
        <x:f>'Monthly Master'!B64/'Monthly Master'!$B$2*100</x:f>
        <x:v>125.01250625312656</x:v>
      </x:c>
      <x:c r="C64" s="40" t="n">
        <x:f>'Monthly Master'!D64/'Monthly Master'!$D$2*100</x:f>
        <x:v>112.87852038671711</x:v>
      </x:c>
      <x:c r="D64" s="40" t="n">
        <x:f>'Monthly Master'!E64/'Monthly Master'!$E$2*100</x:f>
        <x:v>119.42031250000001</x:v>
      </x:c>
      <x:c r="E64" s="40" t="n">
        <x:f>'Monthly Master'!F64/'Monthly Master'!$F$2*100</x:f>
        <x:v>138.45397923875433</x:v>
      </x:c>
      <x:c r="F64" s="40" t="n">
        <x:f>'Monthly Master'!G64/'Monthly Master'!$G$2*100</x:f>
        <x:v>123.75707000463609</x:v>
      </x:c>
      <x:c r="G64" s="40" t="n">
        <x:f>'Monthly Master'!H64/'Monthly Master'!$H$2*100</x:f>
        <x:v>135.30537796163972</x:v>
      </x:c>
      <x:c r="H64" s="40" t="n">
        <x:f>'Monthly Master'!I64/'Monthly Master'!$I$2*100</x:f>
        <x:v>143.86708860759495</x:v>
      </x:c>
      <x:c r="I64" s="40" t="n">
        <x:f>'Monthly Master'!J64/'Monthly Master'!$J$2*100</x:f>
        <x:v>118.25710070084841</x:v>
      </x:c>
      <x:c r="J64" s="40" t="n">
        <x:f>'Monthly Master'!K64/'Monthly Master'!$K$2*100</x:f>
        <x:v>106.11820874408735</x:v>
      </x:c>
      <x:c r="K64" s="20" t="str">
        <x:f>'Monthly Master'!C64</x:f>
        <x:v>Validated analytical breakpoint</x:v>
      </x:c>
      <x:c r="L64" t="str">
        <x:f>TEXT(A64,"mmm-yy")</x:f>
        <x:v>Mar-24</x:v>
      </x:c>
      <x:c r="M64" s="39" t="n">
        <x:f>'Monthly Master'!L64/'Monthly Master'!$L$2*100</x:f>
        <x:v>129.70865885416666</x:v>
      </x:c>
      <x:c r="N64" s="40" t="n">
        <x:v>130.2966593186798</x:v>
      </x:c>
    </x:row>
    <x:row r="65">
      <x:c r="A65" s="21" t="n">
        <x:f>'Monthly Master'!A65</x:f>
        <x:v>45383</x:v>
      </x:c>
      <x:c r="B65" s="40" t="n">
        <x:f>'Monthly Master'!B65/'Monthly Master'!$B$2*100</x:f>
        <x:v>125.01250625312656</x:v>
      </x:c>
      <x:c r="C65" s="40" t="n">
        <x:f>'Monthly Master'!D65/'Monthly Master'!$D$2*100</x:f>
        <x:v>113.48886086591006</x:v>
      </x:c>
      <x:c r="D65" s="40" t="n">
        <x:f>'Monthly Master'!E65/'Monthly Master'!$E$2*100</x:f>
        <x:v>119.76458333333333</x:v>
      </x:c>
      <x:c r="E65" s="40" t="n">
        <x:f>'Monthly Master'!F65/'Monthly Master'!$F$2*100</x:f>
        <x:v>138.14117647058822</x:v>
      </x:c>
      <x:c r="F65" s="40" t="n">
        <x:f>'Monthly Master'!G65/'Monthly Master'!$G$2*100</x:f>
        <x:v>122.4598980064905</x:v>
      </x:c>
      <x:c r="G65" s="40" t="n">
        <x:f>'Monthly Master'!H65/'Monthly Master'!$H$2*100</x:f>
        <x:v>135.76946220383604</x:v>
      </x:c>
      <x:c r="H65" s="40" t="n">
        <x:f>'Monthly Master'!I65/'Monthly Master'!$I$2*100</x:f>
        <x:v>144.04249547920435</x:v>
      </x:c>
      <x:c r="I65" s="40" t="n">
        <x:f>'Monthly Master'!J65/'Monthly Master'!$J$2*100</x:f>
        <x:v>119.31243083732939</x:v>
      </x:c>
      <x:c r="J65" s="40" t="n">
        <x:f>'Monthly Master'!K65/'Monthly Master'!$K$2*100</x:f>
        <x:v>106.64721571401205</x:v>
      </x:c>
      <x:c r="K65" s="20" t="str">
        <x:f>'Monthly Master'!C65</x:f>
        <x:v>Validated analytical breakpoint</x:v>
      </x:c>
      <x:c r="L65" t="str">
        <x:f>TEXT(A65,"mmm-yy")</x:f>
        <x:v>Apr-24</x:v>
      </x:c>
      <x:c r="M65" s="39" t="n">
        <x:f>'Monthly Master'!L65/'Monthly Master'!$L$2*100</x:f>
        <x:v>130.43880208333334</x:v>
      </x:c>
      <x:c r="N65" s="40" t="n">
        <x:v>130.39607163171507</x:v>
      </x:c>
    </x:row>
    <x:row r="66">
      <x:c r="A66" s="21" t="n">
        <x:f>'Monthly Master'!A66</x:f>
        <x:v>45413</x:v>
      </x:c>
      <x:c r="B66" s="40" t="n">
        <x:f>'Monthly Master'!B66/'Monthly Master'!$B$2*100</x:f>
        <x:v>125.01250625312656</x:v>
      </x:c>
      <x:c r="C66" s="40" t="n">
        <x:f>'Monthly Master'!D66/'Monthly Master'!$D$2*100</x:f>
        <x:v>113.4089953762085</x:v>
      </x:c>
      <x:c r="D66" s="40" t="n">
        <x:f>'Monthly Master'!E66/'Monthly Master'!$E$2*100</x:f>
        <x:v>120.0734375</x:v>
      </x:c>
      <x:c r="E66" s="40" t="n">
        <x:f>'Monthly Master'!F66/'Monthly Master'!$F$2*100</x:f>
        <x:v>137.84532871972317</x:v>
      </x:c>
      <x:c r="F66" s="40" t="n">
        <x:f>'Monthly Master'!G66/'Monthly Master'!$G$2*100</x:f>
        <x:v>122.32267037552158</x:v>
      </x:c>
      <x:c r="G66" s="40" t="n">
        <x:f>'Monthly Master'!H66/'Monthly Master'!$H$2*100</x:f>
        <x:v>135.87814968033095</x:v>
      </x:c>
      <x:c r="H66" s="40" t="n">
        <x:f>'Monthly Master'!I66/'Monthly Master'!$I$2*100</x:f>
        <x:v>145.7893309222423</x:v>
      </x:c>
      <x:c r="I66" s="40" t="n">
        <x:f>'Monthly Master'!J66/'Monthly Master'!$J$2*100</x:f>
        <x:v>120.11029140538547</x:v>
      </x:c>
      <x:c r="J66" s="40" t="n">
        <x:f>'Monthly Master'!K66/'Monthly Master'!$K$2*100</x:f>
        <x:v>106.57795853410548</x:v>
      </x:c>
      <x:c r="K66" s="20" t="str">
        <x:f>'Monthly Master'!C66</x:f>
        <x:v>Validated analytical breakpoint</x:v>
      </x:c>
      <x:c r="L66" t="str">
        <x:f>TEXT(A66,"mmm-yy")</x:f>
        <x:v>May-24</x:v>
      </x:c>
      <x:c r="M66" s="39" t="n">
        <x:f>'Monthly Master'!L66/'Monthly Master'!$L$2*100</x:f>
        <x:v>134.9453125</x:v>
      </x:c>
      <x:c r="N66" s="40" t="n">
        <x:v>131.02511059587007</x:v>
      </x:c>
    </x:row>
    <x:row r="67">
      <x:c r="A67" s="21" t="n">
        <x:f>'Monthly Master'!A67</x:f>
        <x:v>45444</x:v>
      </x:c>
      <x:c r="B67" s="40" t="n">
        <x:f>'Monthly Master'!B67/'Monthly Master'!$B$2*100</x:f>
        <x:v>125.01250625312656</x:v>
      </x:c>
      <x:c r="C67" s="40" t="n">
        <x:f>'Monthly Master'!D67/'Monthly Master'!$D$2*100</x:f>
        <x:v>113.0012610340479</x:v>
      </x:c>
      <x:c r="D67" s="40" t="n">
        <x:f>'Monthly Master'!E67/'Monthly Master'!$E$2*100</x:f>
        <x:v>120.0734375</x:v>
      </x:c>
      <x:c r="E67" s="40" t="n">
        <x:f>'Monthly Master'!F67/'Monthly Master'!$F$2*100</x:f>
        <x:v>137.95882352941177</x:v>
      </x:c>
      <x:c r="F67" s="40" t="n">
        <x:f>'Monthly Master'!G67/'Monthly Master'!$G$2*100</x:f>
        <x:v>122.34167825683822</x:v>
      </x:c>
      <x:c r="G67" s="40" t="n">
        <x:f>'Monthly Master'!H67/'Monthly Master'!$H$2*100</x:f>
        <x:v>135.5723956374577</x:v>
      </x:c>
      <x:c r="H67" s="40" t="n">
        <x:f>'Monthly Master'!I67/'Monthly Master'!$I$2*100</x:f>
        <x:v>144.7766726943942</x:v>
      </x:c>
      <x:c r="I67" s="40" t="n">
        <x:f>'Monthly Master'!J67/'Monthly Master'!$J$2*100</x:f>
        <x:v>120.32128365916634</x:v>
      </x:c>
      <x:c r="J67" s="40" t="n">
        <x:f>'Monthly Master'!K67/'Monthly Master'!$K$2*100</x:f>
        <x:v>106.90214107834903</x:v>
      </x:c>
      <x:c r="K67" s="20" t="str">
        <x:f>'Monthly Master'!C67</x:f>
        <x:v>Validated analytical breakpoint</x:v>
      </x:c>
      <x:c r="L67" t="str">
        <x:f>TEXT(A67,"mmm-yy")</x:f>
        <x:v>Jun-24</x:v>
      </x:c>
      <x:c r="M67" s="39" t="n">
        <x:f>'Monthly Master'!L67/'Monthly Master'!$L$2*100</x:f>
        <x:v>141.49544270833334</x:v>
      </x:c>
      <x:c r="N67" s="40" t="n">
        <x:v>130.75300756196413</x:v>
      </x:c>
    </x:row>
    <x:row r="68">
      <x:c r="A68" s="21" t="n">
        <x:f>'Monthly Master'!A68</x:f>
        <x:v>45474</x:v>
      </x:c>
      <x:c r="B68" s="40" t="n">
        <x:f>'Monthly Master'!B68/'Monthly Master'!$B$2*100</x:f>
        <x:v>125.01250625312656</x:v>
      </x:c>
      <x:c r="C68" s="40" t="n">
        <x:f>'Monthly Master'!D68/'Monthly Master'!$D$2*100</x:f>
        <x:v>114.96427070197561</x:v>
      </x:c>
      <x:c r="D68" s="40" t="n">
        <x:f>'Monthly Master'!E68/'Monthly Master'!$E$2*100</x:f>
        <x:v>120.975</x:v>
      </x:c>
      <x:c r="E68" s="40" t="n">
        <x:f>'Monthly Master'!F68/'Monthly Master'!$F$2*100</x:f>
        <x:v>138.07093425605535</x:v>
      </x:c>
      <x:c r="F68" s="40" t="n">
        <x:f>'Monthly Master'!G68/'Monthly Master'!$G$2*100</x:f>
        <x:v>122.2290217895225</x:v>
      </x:c>
      <x:c r="G68" s="40" t="n">
        <x:f>'Monthly Master'!H68/'Monthly Master'!$H$2*100</x:f>
        <x:v>135.7803685596089</x:v>
      </x:c>
      <x:c r="H68" s="40" t="n">
        <x:f>'Monthly Master'!I68/'Monthly Master'!$I$2*100</x:f>
        <x:v>146.0623869801085</x:v>
      </x:c>
      <x:c r="I68" s="40" t="n">
        <x:f>'Monthly Master'!J68/'Monthly Master'!$J$2*100</x:f>
        <x:v>120.47842124677241</x:v>
      </x:c>
      <x:c r="J68" s="40" t="n">
        <x:f>'Monthly Master'!K68/'Monthly Master'!$K$2*100</x:f>
        <x:v>106.99350161354495</x:v>
      </x:c>
      <x:c r="K68" s="20" t="str">
        <x:f>'Monthly Master'!C68</x:f>
        <x:v>Validated analytical breakpoint</x:v>
      </x:c>
      <x:c r="L68" t="str">
        <x:f>TEXT(A68,"mmm-yy")</x:f>
        <x:v>Jul-24</x:v>
      </x:c>
      <x:c r="M68" s="39" t="n">
        <x:f>'Monthly Master'!L68/'Monthly Master'!$L$2*100</x:f>
        <x:v>143.12109375000003</x:v>
      </x:c>
      <x:c r="N68" s="40" t="n">
        <x:v>131.1375496440031</x:v>
      </x:c>
    </x:row>
    <x:row r="69">
      <x:c r="A69" s="21" t="n">
        <x:f>'Monthly Master'!A69</x:f>
        <x:v>45505</x:v>
      </x:c>
      <x:c r="B69" s="40" t="n">
        <x:f>'Monthly Master'!B69/'Monthly Master'!$B$2*100</x:f>
        <x:v>125.01250625312656</x:v>
      </x:c>
      <x:c r="C69" s="40" t="n">
        <x:f>'Monthly Master'!D69/'Monthly Master'!$D$2*100</x:f>
        <x:v>114.9714165615805</x:v>
      </x:c>
      <x:c r="D69" s="40" t="n">
        <x:f>'Monthly Master'!E69/'Monthly Master'!$E$2*100</x:f>
        <x:v>120.975</x:v>
      </x:c>
      <x:c r="E69" s="40" t="n">
        <x:f>'Monthly Master'!F69/'Monthly Master'!$F$2*100</x:f>
        <x:v>138.518339100346</x:v>
      </x:c>
      <x:c r="F69" s="40" t="n">
        <x:f>'Monthly Master'!G69/'Monthly Master'!$G$2*100</x:f>
        <x:v>121.82243857209087</x:v>
      </x:c>
      <x:c r="G69" s="40" t="n">
        <x:f>'Monthly Master'!H69/'Monthly Master'!$H$2*100</x:f>
        <x:v>136.93719443399775</x:v>
      </x:c>
      <x:c r="H69" s="40" t="n">
        <x:f>'Monthly Master'!I69/'Monthly Master'!$I$2*100</x:f>
        <x:v>146.48643761301992</x:v>
      </x:c>
      <x:c r="I69" s="40" t="n">
        <x:f>'Monthly Master'!J69/'Monthly Master'!$J$2*100</x:f>
        <x:v>122.50719291774253</x:v>
      </x:c>
      <x:c r="J69" s="40" t="n">
        <x:f>'Monthly Master'!K69/'Monthly Master'!$K$2*100</x:f>
        <x:v>105.32248795367136</x:v>
      </x:c>
      <x:c r="K69" s="20" t="str">
        <x:f>'Monthly Master'!C69</x:f>
        <x:v>Validated analytical breakpoint</x:v>
      </x:c>
      <x:c r="L69" t="str">
        <x:f>TEXT(A69,"mmm-yy")</x:f>
        <x:v>Aug-24</x:v>
      </x:c>
      <x:c r="M69" s="39" t="n">
        <x:f>'Monthly Master'!L69/'Monthly Master'!$L$2*100</x:f>
        <x:v>140.84863281250003</x:v>
      </x:c>
      <x:c r="N69" s="40" t="n">
        <x:v>131.93831588421276</x:v>
      </x:c>
    </x:row>
    <x:row r="70">
      <x:c r="A70" s="21" t="n">
        <x:f>'Monthly Master'!A70</x:f>
        <x:v>45536</x:v>
      </x:c>
      <x:c r="B70" s="40" t="n">
        <x:f>'Monthly Master'!B70/'Monthly Master'!$B$2*100</x:f>
        <x:v>125.01250625312656</x:v>
      </x:c>
      <x:c r="C70" s="40" t="n">
        <x:f>'Monthly Master'!D70/'Monthly Master'!$D$2*100</x:f>
        <x:v>111.99747793190416</x:v>
      </x:c>
      <x:c r="D70" s="40" t="n">
        <x:f>'Monthly Master'!E70/'Monthly Master'!$E$2*100</x:f>
        <x:v>120.975</x:v>
      </x:c>
      <x:c r="E70" s="40" t="n">
        <x:f>'Monthly Master'!F70/'Monthly Master'!$F$2*100</x:f>
        <x:v>139.25190311418686</x:v>
      </x:c>
      <x:c r="F70" s="40" t="n">
        <x:f>'Monthly Master'!G70/'Monthly Master'!$G$2*100</x:f>
        <x:v>121.8692628650904</x:v>
      </x:c>
      <x:c r="G70" s="40" t="n">
        <x:f>'Monthly Master'!H70/'Monthly Master'!$H$2*100</x:f>
        <x:v>137.46483640466343</x:v>
      </x:c>
      <x:c r="H70" s="40" t="n">
        <x:f>'Monthly Master'!I70/'Monthly Master'!$I$2*100</x:f>
        <x:v>146.87341772151902</x:v>
      </x:c>
      <x:c r="I70" s="40" t="n">
        <x:f>'Monthly Master'!J70/'Monthly Master'!$J$2*100</x:f>
        <x:v>123.48137218738471</x:v>
      </x:c>
      <x:c r="J70" s="40" t="n">
        <x:f>'Monthly Master'!K70/'Monthly Master'!$K$2*100</x:f>
        <x:v>104.26889468487983</x:v>
      </x:c>
      <x:c r="K70" s="20" t="str">
        <x:f>'Monthly Master'!C70</x:f>
        <x:v>Validated analytical breakpoint</x:v>
      </x:c>
      <x:c r="L70" t="str">
        <x:f>TEXT(A70,"mmm-yy")</x:f>
        <x:v>Sep-24</x:v>
      </x:c>
      <x:c r="M70" s="39" t="n">
        <x:f>'Monthly Master'!L70/'Monthly Master'!$L$2*100</x:f>
        <x:v>134.857421875</x:v>
      </x:c>
      <x:c r="N70" s="40" t="n">
        <x:v>132.42222229466438</x:v>
      </x:c>
    </x:row>
    <x:row r="71">
      <x:c r="A71" s="21" t="n">
        <x:f>'Monthly Master'!A71</x:f>
        <x:v>45566</x:v>
      </x:c>
      <x:c r="B71" s="40" t="n">
        <x:f>'Monthly Master'!B71/'Monthly Master'!$B$2*100</x:f>
        <x:v>125.01250625312656</x:v>
      </x:c>
      <x:c r="C71" s="40" t="n">
        <x:f>'Monthly Master'!D71/'Monthly Master'!$D$2*100</x:f>
        <x:v>113.15090374106767</x:v>
      </x:c>
      <x:c r="D71" s="40" t="n">
        <x:f>'Monthly Master'!E71/'Monthly Master'!$E$2*100</x:f>
        <x:v>122.31458333333333</x:v>
      </x:c>
      <x:c r="E71" s="40" t="n">
        <x:f>'Monthly Master'!F71/'Monthly Master'!$F$2*100</x:f>
        <x:v>139.26851211072665</x:v>
      </x:c>
      <x:c r="F71" s="40" t="n">
        <x:f>'Monthly Master'!G71/'Monthly Master'!$G$2*100</x:f>
        <x:v>121.15530829856283</x:v>
      </x:c>
      <x:c r="G71" s="40" t="n">
        <x:f>'Monthly Master'!H71/'Monthly Master'!$H$2*100</x:f>
        <x:v>137.3839789394509</x:v>
      </x:c>
      <x:c r="H71" s="40" t="n">
        <x:f>'Monthly Master'!I71/'Monthly Master'!$I$2*100</x:f>
        <x:v>147.21971066907776</x:v>
      </x:c>
      <x:c r="I71" s="40" t="n">
        <x:f>'Monthly Master'!J71/'Monthly Master'!$J$2*100</x:f>
        <x:v>125.0959055699004</x:v>
      </x:c>
      <x:c r="J71" s="40" t="n">
        <x:f>'Monthly Master'!K71/'Monthly Master'!$K$2*100</x:f>
        <x:v>104.44719508421379</x:v>
      </x:c>
      <x:c r="K71" s="20" t="str">
        <x:f>'Monthly Master'!C71</x:f>
        <x:v>Validated analytical breakpoint</x:v>
      </x:c>
      <x:c r="L71" t="str">
        <x:f>TEXT(A71,"mmm-yy")</x:f>
        <x:v>Oct-24</x:v>
      </x:c>
      <x:c r="M71" s="39" t="n">
        <x:f>'Monthly Master'!L71/'Monthly Master'!$L$2*100</x:f>
        <x:v>133.29752604166666</x:v>
      </x:c>
      <x:c r="N71" s="40" t="n">
        <x:v>132.71372586924798</x:v>
      </x:c>
    </x:row>
    <x:row r="72">
      <x:c r="A72" s="21" t="n">
        <x:f>'Monthly Master'!A72</x:f>
        <x:v>45597</x:v>
      </x:c>
      <x:c r="B72" s="40" t="n">
        <x:f>'Monthly Master'!B72/'Monthly Master'!$B$2*100</x:f>
        <x:v>125.01250625312656</x:v>
      </x:c>
      <x:c r="C72" s="40" t="n">
        <x:f>'Monthly Master'!D72/'Monthly Master'!$D$2*100</x:f>
        <x:v>112.3266078184111</x:v>
      </x:c>
      <x:c r="D72" s="40" t="n">
        <x:f>'Monthly Master'!E72/'Monthly Master'!$E$2*100</x:f>
        <x:v>122.01614583333334</x:v>
      </x:c>
      <x:c r="E72" s="40" t="n">
        <x:f>'Monthly Master'!F72/'Monthly Master'!$F$2*100</x:f>
        <x:v>139.60207612456747</x:v>
      </x:c>
      <x:c r="F72" s="40" t="n">
        <x:f>'Monthly Master'!G72/'Monthly Master'!$G$2*100</x:f>
        <x:v>121.79786740843765</x:v>
      </x:c>
      <x:c r="G72" s="40" t="n">
        <x:f>'Monthly Master'!H72/'Monthly Master'!$H$2*100</x:f>
        <x:v>137.3899962391877</x:v>
      </x:c>
      <x:c r="H72" s="40" t="n">
        <x:f>'Monthly Master'!I72/'Monthly Master'!$I$2*100</x:f>
        <x:v>148.60669077757686</x:v>
      </x:c>
      <x:c r="I72" s="40" t="n">
        <x:f>'Monthly Master'!J72/'Monthly Master'!$J$2*100</x:f>
        <x:v>125.0959055699004</x:v>
      </x:c>
      <x:c r="J72" s="40" t="n">
        <x:f>'Monthly Master'!K72/'Monthly Master'!$K$2*100</x:f>
        <x:v>106.18893948101322</x:v>
      </x:c>
      <x:c r="K72" s="20" t="str">
        <x:f>'Monthly Master'!C72</x:f>
        <x:v>Validated analytical breakpoint</x:v>
      </x:c>
      <x:c r="L72" t="str">
        <x:f>TEXT(A72,"mmm-yy")</x:f>
        <x:v>Nov-24</x:v>
      </x:c>
      <x:c r="M72" s="39" t="n">
        <x:f>'Monthly Master'!L72/'Monthly Master'!$L$2*100</x:f>
        <x:v>129.09212239583334</x:v>
      </x:c>
      <x:c r="N72" s="40" t="n">
        <x:v>133.22261499877564</x:v>
      </x:c>
    </x:row>
    <x:row r="73">
      <x:c r="A73" s="21" t="n">
        <x:f>'Monthly Master'!A73</x:f>
        <x:v>45627</x:v>
      </x:c>
      <x:c r="B73" s="40" t="n">
        <x:f>'Monthly Master'!B73/'Monthly Master'!$B$2*100</x:f>
        <x:v>125.01250625312656</x:v>
      </x:c>
      <x:c r="C73" s="40" t="n">
        <x:f>'Monthly Master'!D73/'Monthly Master'!$D$2*100</x:f>
        <x:v>111.66372425388819</x:v>
      </x:c>
      <x:c r="D73" s="40" t="n">
        <x:f>'Monthly Master'!E73/'Monthly Master'!$E$2*100</x:f>
        <x:v>122.01979166666665</x:v>
      </x:c>
      <x:c r="E73" s="40" t="n">
        <x:f>'Monthly Master'!F73/'Monthly Master'!$F$2*100</x:f>
        <x:v>139.6484429065744</x:v>
      </x:c>
      <x:c r="F73" s="40" t="n">
        <x:f>'Monthly Master'!G73/'Monthly Master'!$G$2*100</x:f>
        <x:v>121.91840519239685</x:v>
      </x:c>
      <x:c r="G73" s="40" t="n">
        <x:f>'Monthly Master'!H73/'Monthly Master'!$H$2*100</x:f>
        <x:v>137.4234674689733</x:v>
      </x:c>
      <x:c r="H73" s="40" t="n">
        <x:f>'Monthly Master'!I73/'Monthly Master'!$I$2*100</x:f>
        <x:v>148.68083182640146</x:v>
      </x:c>
      <x:c r="I73" s="40" t="n">
        <x:f>'Monthly Master'!J73/'Monthly Master'!$J$2*100</x:f>
        <x:v>125.36923644411655</x:v>
      </x:c>
      <x:c r="J73" s="40" t="n">
        <x:f>'Monthly Master'!K73/'Monthly Master'!$K$2*100</x:f>
        <x:v>107.28526590336413</x:v>
      </x:c>
      <x:c r="K73" s="20" t="str">
        <x:f>'Monthly Master'!C73</x:f>
        <x:v>Validated analytical breakpoint</x:v>
      </x:c>
      <x:c r="L73" t="str">
        <x:f>TEXT(A73,"mmm-yy")</x:f>
        <x:v>Dec-24</x:v>
      </x:c>
      <x:c r="M73" s="39" t="n">
        <x:f>'Monthly Master'!L73/'Monthly Master'!$L$2*100</x:f>
        <x:v>128.3173828125</x:v>
      </x:c>
      <x:c r="N73" s="40" t="n">
        <x:v>133.34798523297204</x:v>
      </x:c>
    </x:row>
    <x:row r="74">
      <x:c r="A74" s="21" t="n">
        <x:f>'Monthly Master'!A74</x:f>
        <x:v>45658</x:v>
      </x:c>
      <x:c r="B74" s="40" t="n">
        <x:f>'Monthly Master'!B74/'Monthly Master'!$B$2*100</x:f>
        <x:v>125.01250625312656</x:v>
      </x:c>
      <x:c r="C74" s="40" t="n">
        <x:f>'Monthly Master'!D74/'Monthly Master'!$D$2*100</x:f>
        <x:v>110.87137452711222</x:v>
      </x:c>
      <x:c r="D74" s="40" t="n">
        <x:f>'Monthly Master'!E74/'Monthly Master'!$E$2*100</x:f>
        <x:v>122.01979166666665</x:v>
      </x:c>
      <x:c r="E74" s="40" t="n">
        <x:f>'Monthly Master'!F74/'Monthly Master'!$F$2*100</x:f>
        <x:v>139.73287197231835</x:v>
      </x:c>
      <x:c r="F74" s="40" t="n">
        <x:f>'Monthly Master'!G74/'Monthly Master'!$G$2*100</x:f>
        <x:v>122.02457116365322</x:v>
      </x:c>
      <x:c r="G74" s="40" t="n">
        <x:f>'Monthly Master'!H74/'Monthly Master'!$H$2*100</x:f>
        <x:v>137.49078600977813</x:v>
      </x:c>
      <x:c r="H74" s="40" t="n">
        <x:f>'Monthly Master'!I74/'Monthly Master'!$I$2*100</x:f>
        <x:v>147.11392405063293</x:v>
      </x:c>
      <x:c r="I74" s="40" t="n">
        <x:f>'Monthly Master'!J74/'Monthly Master'!$J$2*100</x:f>
        <x:v>126.12135743268166</x:v>
      </x:c>
      <x:c r="J74" s="40" t="n">
        <x:f>'Monthly Master'!K74/'Monthly Master'!$K$2*100</x:f>
        <x:v>107.50629945625747</x:v>
      </x:c>
      <x:c r="K74" s="20" t="str">
        <x:f>'Monthly Master'!C74</x:f>
        <x:v>Validated analytical breakpoint</x:v>
      </x:c>
      <x:c r="L74" t="str">
        <x:f>TEXT(A74,"mmm-yy")</x:f>
        <x:v>Jan-25</x:v>
      </x:c>
      <x:c r="M74" s="39" t="n">
        <x:f>'Monthly Master'!L74/'Monthly Master'!$L$2*100</x:f>
        <x:v>139.46614583333334</x:v>
      </x:c>
      <x:c r="N74" s="40" t="n">
        <x:v>133.1876596641865</x:v>
      </x:c>
    </x:row>
    <x:row r="75">
      <x:c r="A75" s="21" t="n">
        <x:f>'Monthly Master'!A75</x:f>
        <x:v>45689</x:v>
      </x:c>
      <x:c r="B75" s="40" t="n">
        <x:f>'Monthly Master'!B75/'Monthly Master'!$B$2*100</x:f>
        <x:v>125.01250625312656</x:v>
      </x:c>
      <x:c r="C75" s="40" t="n">
        <x:f>'Monthly Master'!D75/'Monthly Master'!$D$2*100</x:f>
        <x:v>114.72215216477511</x:v>
      </x:c>
      <x:c r="D75" s="40" t="n">
        <x:f>'Monthly Master'!E75/'Monthly Master'!$E$2*100</x:f>
        <x:v>123.69322916666667</x:v>
      </x:c>
      <x:c r="E75" s="40" t="n">
        <x:f>'Monthly Master'!F75/'Monthly Master'!$F$2*100</x:f>
        <x:v>140.1159169550173</x:v>
      </x:c>
      <x:c r="F75" s="40" t="n">
        <x:f>'Monthly Master'!G75/'Monthly Master'!$G$2*100</x:f>
        <x:v>121.99443671766343</x:v>
      </x:c>
      <x:c r="G75" s="40" t="n">
        <x:f>'Monthly Master'!H75/'Monthly Master'!$H$2*100</x:f>
        <x:v>138.25197442647615</x:v>
      </x:c>
      <x:c r="H75" s="40" t="n">
        <x:f>'Monthly Master'!I75/'Monthly Master'!$I$2*100</x:f>
        <x:v>147.5994575045208</x:v>
      </x:c>
      <x:c r="I75" s="40" t="n">
        <x:f>'Monthly Master'!J75/'Monthly Master'!$J$2*100</x:f>
        <x:v>126.20398376982662</x:v>
      </x:c>
      <x:c r="J75" s="40" t="n">
        <x:f>'Monthly Master'!K75/'Monthly Master'!$K$2*100</x:f>
        <x:v>107.17769624095604</x:v>
      </x:c>
      <x:c r="K75" s="20" t="str">
        <x:f>'Monthly Master'!C75</x:f>
        <x:v>Validated analytical breakpoint</x:v>
      </x:c>
      <x:c r="L75" t="str">
        <x:f>TEXT(A75,"mmm-yy")</x:f>
        <x:v>Feb-25</x:v>
      </x:c>
      <x:c r="M75" s="39" t="n">
        <x:f>'Monthly Master'!L75/'Monthly Master'!$L$2*100</x:f>
        <x:v>142.44889322916669</x:v>
      </x:c>
      <x:c r="N75" s="40" t="n">
        <x:v>133.51246310462176</x:v>
      </x:c>
    </x:row>
    <x:row r="76">
      <x:c r="A76" s="21" t="n">
        <x:f>'Monthly Master'!A76</x:f>
        <x:v>45717</x:v>
      </x:c>
      <x:c r="B76" s="40" t="n">
        <x:f>'Monthly Master'!B76/'Monthly Master'!$B$2*100</x:f>
        <x:v>125.01250625312656</x:v>
      </x:c>
      <x:c r="C76" s="40" t="n">
        <x:f>'Monthly Master'!D76/'Monthly Master'!$D$2*100</x:f>
        <x:v>115.7738545607398</x:v>
      </x:c>
      <x:c r="D76" s="40" t="n">
        <x:f>'Monthly Master'!E76/'Monthly Master'!$E$2*100</x:f>
        <x:v>124.26041666666667</x:v>
      </x:c>
      <x:c r="E76" s="40" t="n">
        <x:f>'Monthly Master'!F76/'Monthly Master'!$F$2*100</x:f>
        <x:v>140.56747404844293</x:v>
      </x:c>
      <x:c r="F76" s="40" t="n">
        <x:f>'Monthly Master'!G76/'Monthly Master'!$G$2*100</x:f>
        <x:v>121.97079276773297</x:v>
      </x:c>
      <x:c r="G76" s="40" t="n">
        <x:f>'Monthly Master'!H76/'Monthly Master'!$H$2*100</x:f>
        <x:v>139.20421210981573</x:v>
      </x:c>
      <x:c r="H76" s="40" t="n">
        <x:f>'Monthly Master'!I76/'Monthly Master'!$I$2*100</x:f>
        <x:v>147.7748643761302</x:v>
      </x:c>
      <x:c r="I76" s="40" t="n">
        <x:f>'Monthly Master'!J76/'Monthly Master'!$J$2*100</x:f>
        <x:v>126.44485429730724</x:v>
      </x:c>
      <x:c r="J76" s="40" t="n">
        <x:f>'Monthly Master'!K76/'Monthly Master'!$K$2*100</x:f>
        <x:v>106.82256899930742</x:v>
      </x:c>
      <x:c r="K76" s="20" t="str">
        <x:f>'Monthly Master'!C76</x:f>
        <x:v>Validated analytical breakpoint</x:v>
      </x:c>
      <x:c r="L76" t="str">
        <x:f>TEXT(A76,"mmm-yy")</x:f>
        <x:v>Mar-25</x:v>
      </x:c>
      <x:c r="M76" s="39" t="n">
        <x:f>'Monthly Master'!L76/'Monthly Master'!$L$2*100</x:f>
        <x:v>135.36360677083334</x:v>
      </x:c>
      <x:c r="N76" s="40" t="n">
        <x:v>133.84868088774653</x:v>
      </x:c>
    </x:row>
    <x:row r="77">
      <x:c r="A77" s="21" t="n">
        <x:f>'Monthly Master'!A77</x:f>
        <x:v>45748</x:v>
      </x:c>
      <x:c r="B77" s="40" t="n">
        <x:f>'Monthly Master'!B77/'Monthly Master'!$B$2*100</x:f>
        <x:v>125.01250625312656</x:v>
      </x:c>
      <x:c r="C77" s="40" t="n">
        <x:f>'Monthly Master'!D77/'Monthly Master'!$D$2*100</x:f>
        <x:v>114.95124001681378</x:v>
      </x:c>
      <x:c r="D77" s="40" t="n">
        <x:f>'Monthly Master'!E77/'Monthly Master'!$E$2*100</x:f>
        <x:v>124.26041666666667</x:v>
      </x:c>
      <x:c r="E77" s="40" t="n">
        <x:f>'Monthly Master'!F77/'Monthly Master'!$F$2*100</x:f>
        <x:v>139.82006920415225</x:v>
      </x:c>
      <x:c r="F77" s="40" t="n">
        <x:f>'Monthly Master'!G77/'Monthly Master'!$G$2*100</x:f>
        <x:v>123.40565600370886</x:v>
      </x:c>
      <x:c r="G77" s="40" t="n">
        <x:f>'Monthly Master'!H77/'Monthly Master'!$H$2*100</x:f>
        <x:v>139.74125611132007</x:v>
      </x:c>
      <x:c r="H77" s="40" t="n">
        <x:f>'Monthly Master'!I77/'Monthly Master'!$I$2*100</x:f>
        <x:v>149.10126582278482</x:v>
      </x:c>
      <x:c r="I77" s="40" t="n">
        <x:f>'Monthly Master'!J77/'Monthly Master'!$J$2*100</x:f>
        <x:v>128.19845075617852</x:v>
      </x:c>
      <x:c r="J77" s="40" t="n">
        <x:f>'Monthly Master'!K77/'Monthly Master'!$K$2*100</x:f>
        <x:v>107.52250858346963</x:v>
      </x:c>
      <x:c r="K77" s="20" t="str">
        <x:f>'Monthly Master'!C77</x:f>
        <x:v>Validated analytical breakpoint</x:v>
      </x:c>
      <x:c r="L77" t="str">
        <x:f>TEXT(A77,"mmm-yy")</x:f>
        <x:v>Apr-25</x:v>
      </x:c>
      <x:c r="M77" s="39" t="n">
        <x:f>'Monthly Master'!L77/'Monthly Master'!$L$2*100</x:f>
        <x:v>133.57421875</x:v>
      </x:c>
      <x:c r="N77" s="40" t="n">
        <x:v>135.11165717349806</x:v>
      </x:c>
    </x:row>
    <x:row r="78">
      <x:c r="A78" s="21" t="n">
        <x:f>'Monthly Master'!A78</x:f>
        <x:v>45778</x:v>
      </x:c>
      <x:c r="B78" s="40" t="n">
        <x:f>'Monthly Master'!B78/'Monthly Master'!$B$2*100</x:f>
        <x:v>125.01250625312656</x:v>
      </x:c>
      <x:c r="C78" s="40" t="n">
        <x:f>'Monthly Master'!D78/'Monthly Master'!$D$2*100</x:f>
        <x:v>113.5317360235393</x:v>
      </x:c>
      <x:c r="D78" s="40" t="n">
        <x:f>'Monthly Master'!E78/'Monthly Master'!$E$2*100</x:f>
        <x:v>124.26041666666667</x:v>
      </x:c>
      <x:c r="E78" s="40" t="n">
        <x:f>'Monthly Master'!F78/'Monthly Master'!$F$2*100</x:f>
        <x:v>140.50865051903114</x:v>
      </x:c>
      <x:c r="F78" s="40" t="n">
        <x:f>'Monthly Master'!G78/'Monthly Master'!$G$2*100</x:f>
        <x:v>123.71024571163656</x:v>
      </x:c>
      <x:c r="G78" s="40" t="n">
        <x:f>'Monthly Master'!H78/'Monthly Master'!$H$2*100</x:f>
        <x:v>140.28130876269273</x:v>
      </x:c>
      <x:c r="H78" s="40" t="n">
        <x:f>'Monthly Master'!I78/'Monthly Master'!$I$2*100</x:f>
        <x:v>149.4710669077758</x:v>
      </x:c>
      <x:c r="I78" s="40" t="n">
        <x:f>'Monthly Master'!J78/'Monthly Master'!$J$2*100</x:f>
        <x:v>130.092216894135</x:v>
      </x:c>
      <x:c r="J78" s="40" t="n">
        <x:f>'Monthly Master'!K78/'Monthly Master'!$K$2*100</x:f>
        <x:v>106.34071585399998</x:v>
      </x:c>
      <x:c r="K78" s="20" t="str">
        <x:f>'Monthly Master'!C78</x:f>
        <x:v>Validated analytical breakpoint</x:v>
      </x:c>
      <x:c r="L78" t="str">
        <x:f>TEXT(A78,"mmm-yy")</x:f>
        <x:v>May-25</x:v>
      </x:c>
      <x:c r="M78" s="39" t="n">
        <x:f>'Monthly Master'!L78/'Monthly Master'!$L$2*100</x:f>
        <x:v>130.05338541666666</x:v>
      </x:c>
      <x:c r="N78" s="40" t="n">
        <x:v>135.88870956906</x:v>
      </x:c>
    </x:row>
    <x:row r="79">
      <x:c r="A79" s="21" t="n">
        <x:f>'Monthly Master'!A79</x:f>
        <x:v>45809</x:v>
      </x:c>
      <x:c r="B79" s="40" t="n">
        <x:f>'Monthly Master'!B79/'Monthly Master'!$B$2*100</x:f>
        <x:v>125.01250625312656</x:v>
      </x:c>
      <x:c r="C79" s="40" t="n">
        <x:f>'Monthly Master'!D79/'Monthly Master'!$D$2*100</x:f>
        <x:v>111.93820933165195</x:v>
      </x:c>
      <x:c r="D79" s="40" t="n">
        <x:f>'Monthly Master'!E79/'Monthly Master'!$E$2*100</x:f>
        <x:v>124.42135416666666</x:v>
      </x:c>
      <x:c r="E79" s="40" t="n">
        <x:f>'Monthly Master'!F79/'Monthly Master'!$F$2*100</x:f>
        <x:v>140.34498269896193</x:v>
      </x:c>
      <x:c r="F79" s="40" t="n">
        <x:f>'Monthly Master'!G79/'Monthly Master'!$G$2*100</x:f>
        <x:v>123.85999072786278</x:v>
      </x:c>
      <x:c r="G79" s="40" t="n">
        <x:f>'Monthly Master'!H79/'Monthly Master'!$H$2*100</x:f>
        <x:v>140.95524633320798</x:v>
      </x:c>
      <x:c r="H79" s="40" t="n">
        <x:f>'Monthly Master'!I79/'Monthly Master'!$I$2*100</x:f>
        <x:v>149.13924050632912</x:v>
      </x:c>
      <x:c r="I79" s="40" t="n">
        <x:f>'Monthly Master'!J79/'Monthly Master'!$J$2*100</x:f>
        <x:v>130.69642198450754</x:v>
      </x:c>
      <x:c r="J79" s="40" t="n">
        <x:f>'Monthly Master'!K79/'Monthly Master'!$K$2*100</x:f>
        <x:v>105.80728821301739</x:v>
      </x:c>
      <x:c r="K79" s="20" t="str">
        <x:f>'Monthly Master'!C79</x:f>
        <x:v>Validated analytical breakpoint</x:v>
      </x:c>
      <x:c r="L79" t="str">
        <x:f>TEXT(A79,"mmm-yy")</x:f>
        <x:v>Jun-25</x:v>
      </x:c>
      <x:c r="M79" s="39" t="n">
        <x:f>'Monthly Master'!L79/'Monthly Master'!$L$2*100</x:f>
        <x:v>131.759765625</x:v>
      </x:c>
      <x:c r="N79" s="40" t="n">
        <x:v>136.16272488797685</x:v>
      </x:c>
    </x:row>
    <x:row r="80">
      <x:c r="A80" s="21" t="n">
        <x:f>'Monthly Master'!A80</x:f>
        <x:v>45839</x:v>
      </x:c>
      <x:c r="B80" s="40" t="n">
        <x:f>'Monthly Master'!B80/'Monthly Master'!$B$2*100</x:f>
        <x:v>125.01250625312656</x:v>
      </x:c>
      <x:c r="C80" s="40" t="n">
        <x:f>'Monthly Master'!D80/'Monthly Master'!$D$2*100</x:f>
        <x:v>111.97099621689786</x:v>
      </x:c>
      <x:c r="D80" s="40" t="n">
        <x:f>'Monthly Master'!E80/'Monthly Master'!$E$2*100</x:f>
        <x:v>126.32812500000001</x:v>
      </x:c>
      <x:c r="E80" s="40" t="n">
        <x:f>'Monthly Master'!F80/'Monthly Master'!$F$2*100</x:f>
        <x:v>140.40865051903114</x:v>
      </x:c>
      <x:c r="F80" s="40" t="n">
        <x:f>'Monthly Master'!G80/'Monthly Master'!$G$2*100</x:f>
        <x:v>124.06861381548447</x:v>
      </x:c>
      <x:c r="G80" s="40" t="n">
        <x:f>'Monthly Master'!H80/'Monthly Master'!$H$2*100</x:f>
        <x:v>140.63369687852577</x:v>
      </x:c>
      <x:c r="H80" s="40" t="n">
        <x:f>'Monthly Master'!I80/'Monthly Master'!$I$2*100</x:f>
        <x:v>149.5216998191682</x:v>
      </x:c>
      <x:c r="I80" s="40" t="n">
        <x:f>'Monthly Master'!J80/'Monthly Master'!$J$2*100</x:f>
        <x:v>131.32239026189595</x:v>
      </x:c>
      <x:c r="J80" s="40" t="n">
        <x:f>'Monthly Master'!K80/'Monthly Master'!$K$2*100</x:f>
        <x:v>105.7144541208022</x:v>
      </x:c>
      <x:c r="K80" s="20" t="str">
        <x:f>'Monthly Master'!C80</x:f>
        <x:v>Validated analytical breakpoint</x:v>
      </x:c>
      <x:c r="L80" t="str">
        <x:f>TEXT(A80,"mmm-yy")</x:f>
        <x:v>Jul-25</x:v>
      </x:c>
      <x:c r="M80" s="39" t="n">
        <x:f>'Monthly Master'!L80/'Monthly Master'!$L$2*100</x:f>
        <x:v>127.80078125</x:v>
      </x:c>
      <x:c r="N80" s="40" t="n">
        <x:v>136.3866001937686</x:v>
      </x:c>
    </x:row>
    <x:row r="81">
      <x:c r="A81" s="21" t="n">
        <x:f>'Monthly Master'!A81</x:f>
        <x:v>45870</x:v>
      </x:c>
      <x:c r="B81" s="40" t="n">
        <x:f>'Monthly Master'!B81/'Monthly Master'!$B$2*100</x:f>
        <x:v>125.01250625312656</x:v>
      </x:c>
      <x:c r="C81" s="40" t="n">
        <x:f>'Monthly Master'!D81/'Monthly Master'!$D$2*100</x:f>
        <x:v>110.92265657839428</x:v>
      </x:c>
      <x:c r="D81" s="40" t="n">
        <x:f>'Monthly Master'!E81/'Monthly Master'!$E$2*100</x:f>
        <x:v>126.8265625</x:v>
      </x:c>
      <x:c r="E81" s="40" t="n">
        <x:f>'Monthly Master'!F81/'Monthly Master'!$F$2*100</x:f>
        <x:v>144.32387543252597</x:v>
      </x:c>
      <x:c r="F81" s="40" t="n">
        <x:f>'Monthly Master'!G81/'Monthly Master'!$G$2*100</x:f>
        <x:v>124.07974038015763</x:v>
      </x:c>
      <x:c r="G81" s="40" t="n">
        <x:f>'Monthly Master'!H81/'Monthly Master'!$H$2*100</x:f>
        <x:v>140.67243324558106</x:v>
      </x:c>
      <x:c r="H81" s="40" t="n">
        <x:f>'Monthly Master'!I81/'Monthly Master'!$I$2*100</x:f>
        <x:v>149.63110307414104</x:v>
      </x:c>
      <x:c r="I81" s="40" t="n">
        <x:f>'Monthly Master'!J81/'Monthly Master'!$J$2*100</x:f>
        <x:v>131.81962375507192</x:v>
      </x:c>
      <x:c r="J81" s="40" t="n">
        <x:f>'Monthly Master'!K81/'Monthly Master'!$K$2*100</x:f>
        <x:v>105.69382432253217</x:v>
      </x:c>
      <x:c r="K81" s="20" t="str">
        <x:f>'Monthly Master'!C81</x:f>
        <x:v>Validated analytical breakpoint</x:v>
      </x:c>
      <x:c r="L81" t="str">
        <x:f>TEXT(A81,"mmm-yy")</x:f>
        <x:v>Aug-25</x:v>
      </x:c>
      <x:c r="M81" s="39" t="n">
        <x:f>'Monthly Master'!L81/'Monthly Master'!$L$2*100</x:f>
        <x:v>127.87337239583334</x:v>
      </x:c>
      <x:c r="N81" s="40" t="n">
        <x:v>136.5507251137379</x:v>
      </x:c>
    </x:row>
    <x:row r="82">
      <x:c r="A82" s="21" t="n">
        <x:f>'Monthly Master'!A82</x:f>
        <x:v>45901</x:v>
      </x:c>
      <x:c r="B82" s="40" t="n">
        <x:f>'Monthly Master'!B82/'Monthly Master'!$B$2*100</x:f>
        <x:v>140.02001000500252</x:v>
      </x:c>
      <x:c r="C82" s="40" t="n">
        <x:f>'Monthly Master'!D82/'Monthly Master'!$D$2*100</x:f>
        <x:v>109.57166876839008</x:v>
      </x:c>
      <x:c r="D82" s="40" t="n">
        <x:f>'Monthly Master'!E82/'Monthly Master'!$E$2*100</x:f>
        <x:v>126.8265625</x:v>
      </x:c>
      <x:c r="E82" s="40" t="n">
        <x:f>'Monthly Master'!F82/'Monthly Master'!$F$2*100</x:f>
        <x:v>142.99826989619376</x:v>
      </x:c>
      <x:c r="F82" s="40" t="n">
        <x:f>'Monthly Master'!G82/'Monthly Master'!$G$2*100</x:f>
        <x:v>124.28882707464071</x:v>
      </x:c>
      <x:c r="G82" s="40" t="n">
        <x:f>'Monthly Master'!H82/'Monthly Master'!$H$2*100</x:f>
        <x:v>141.68145919518616</x:v>
      </x:c>
      <x:c r="H82" s="40" t="n">
        <x:f>'Monthly Master'!I82/'Monthly Master'!$I$2*100</x:f>
        <x:v>149.70795660036168</x:v>
      </x:c>
      <x:c r="I82" s="40" t="n">
        <x:f>'Monthly Master'!J82/'Monthly Master'!$J$2*100</x:f>
        <x:v>131.7495389155293</x:v>
      </x:c>
      <x:c r="J82" s="40" t="n">
        <x:f>'Monthly Master'!K82/'Monthly Master'!$K$2*100</x:f>
        <x:v>104.96883426904205</x:v>
      </x:c>
      <x:c r="K82" s="20" t="str">
        <x:f>'Monthly Master'!C82</x:f>
        <x:v>Validated retail regime</x:v>
      </x:c>
      <x:c r="L82" t="str">
        <x:f>TEXT(A82,"mmm-yy")</x:f>
        <x:v>Sep-25</x:v>
      </x:c>
      <x:c r="M82" s="39" t="n">
        <x:f>'Monthly Master'!L82/'Monthly Master'!$L$2*100</x:f>
        <x:v>127.26236979166667</x:v>
      </x:c>
      <x:c r="N82" s="40" t="n">
        <x:v>136.85694544642948</x:v>
      </x:c>
    </x:row>
    <x:row r="83">
      <x:c r="A83" s="21" t="n">
        <x:f>'Monthly Master'!A83</x:f>
        <x:v>45931</x:v>
      </x:c>
      <x:c r="B83" s="40" t="n">
        <x:f>'Monthly Master'!B83/'Monthly Master'!$B$2*100</x:f>
        <x:v>140.02001000500252</x:v>
      </x:c>
      <x:c r="C83" s="40" t="n">
        <x:f>'Monthly Master'!D83/'Monthly Master'!$D$2*100</x:f>
        <x:v>109.45271122320301</x:v>
      </x:c>
      <x:c r="D83" s="40" t="n">
        <x:f>'Monthly Master'!E83/'Monthly Master'!$E$2*100</x:f>
        <x:v>127.26302083333334</x:v>
      </x:c>
      <x:c r="E83" s="40" t="n">
        <x:f>'Monthly Master'!F83/'Monthly Master'!$F$2*100</x:f>
        <x:v>143.6190311418685</x:v>
      </x:c>
      <x:c r="F83" s="40" t="n">
        <x:f>'Monthly Master'!G83/'Monthly Master'!$G$2*100</x:f>
        <x:v>124.32869726471954</x:v>
      </x:c>
      <x:c r="G83" s="40" t="n">
        <x:f>'Monthly Master'!H83/'Monthly Master'!$H$2*100</x:f>
        <x:v>141.83903723204213</x:v>
      </x:c>
      <x:c r="H83" s="40" t="n">
        <x:f>'Monthly Master'!I83/'Monthly Master'!$I$2*100</x:f>
        <x:v>147.4104882459313</x:v>
      </x:c>
      <x:c r="I83" s="40" t="n">
        <x:f>'Monthly Master'!J83/'Monthly Master'!$J$2*100</x:f>
        <x:v>131.73884175580966</x:v>
      </x:c>
      <x:c r="J83" s="40" t="n">
        <x:f>'Monthly Master'!K83/'Monthly Master'!$K$2*100</x:f>
        <x:v>104.91725977336695</x:v>
      </x:c>
      <x:c r="K83" s="20" t="str">
        <x:f>'Monthly Master'!C83</x:f>
        <x:v>Validated retail regime</x:v>
      </x:c>
      <x:c r="L83" t="str">
        <x:f>TEXT(A83,"mmm-yy")</x:f>
        <x:v>Oct-25</x:v>
      </x:c>
      <x:c r="M83" s="39" t="n">
        <x:f>'Monthly Master'!L83/'Monthly Master'!$L$2*100</x:f>
        <x:v>136.94531250000003</x:v>
      </x:c>
      <x:c r="N83" s="40" t="n">
        <x:v>136.32926612462566</x:v>
      </x:c>
    </x:row>
    <x:row r="84">
      <x:c r="A84" s="21" t="n">
        <x:f>'Monthly Master'!A84</x:f>
        <x:v>45962</x:v>
      </x:c>
      <x:c r="B84" s="40" t="n">
        <x:f>'Monthly Master'!B84/'Monthly Master'!$B$2*100</x:f>
        <x:v>140.02001000500252</x:v>
      </x:c>
      <x:c r="C84" s="40" t="n">
        <x:f>'Monthly Master'!D84/'Monthly Master'!$D$2*100</x:f>
        <x:v>108.4556536359815</x:v>
      </x:c>
      <x:c r="D84" s="40" t="n">
        <x:f>'Monthly Master'!E84/'Monthly Master'!$E$2*100</x:f>
        <x:v>127.26302083333334</x:v>
      </x:c>
      <x:c r="E84" s="40" t="n">
        <x:f>'Monthly Master'!F84/'Monthly Master'!$F$2*100</x:f>
        <x:v>144.5096885813149</x:v>
      </x:c>
      <x:c r="F84" s="40" t="n">
        <x:f>'Monthly Master'!G84/'Monthly Master'!$G$2*100</x:f>
        <x:v>124.22855818266112</x:v>
      </x:c>
      <x:c r="G84" s="40" t="n">
        <x:f>'Monthly Master'!H84/'Monthly Master'!$H$2*100</x:f>
        <x:v>141.54757427604363</x:v>
      </x:c>
      <x:c r="H84" s="40" t="n">
        <x:f>'Monthly Master'!I84/'Monthly Master'!$I$2*100</x:f>
        <x:v>147.93128390596746</x:v>
      </x:c>
      <x:c r="I84" s="40" t="n">
        <x:f>'Monthly Master'!J84/'Monthly Master'!$J$2*100</x:f>
        <x:v>131.73884175580966</x:v>
      </x:c>
      <x:c r="J84" s="40" t="n">
        <x:f>'Monthly Master'!K84/'Monthly Master'!$K$2*100</x:f>
        <x:v>104.7242238038401</x:v>
      </x:c>
      <x:c r="K84" s="20" t="str">
        <x:f>'Monthly Master'!C84</x:f>
        <x:v>Validated retail regime</x:v>
      </x:c>
      <x:c r="L84" t="str">
        <x:f>TEXT(A84,"mmm-yy")</x:f>
        <x:v>Nov-25</x:v>
      </x:c>
      <x:c r="M84" s="39" t="n">
        <x:f>'Monthly Master'!L84/'Monthly Master'!$L$2*100</x:f>
        <x:v>131.09537760416669</x:v>
      </x:c>
      <x:c r="N84" s="40" t="n">
        <x:v>136.36156453012046</x:v>
      </x:c>
    </x:row>
    <x:row r="85">
      <x:c r="A85" s="21" t="n">
        <x:f>'Monthly Master'!A85</x:f>
        <x:v>45992</x:v>
      </x:c>
      <x:c r="B85" s="40" t="n">
        <x:f>'Monthly Master'!B85/'Monthly Master'!$B$2*100</x:f>
        <x:v>140.02001000500252</x:v>
      </x:c>
      <x:c r="C85" s="40" t="n">
        <x:f>'Monthly Master'!D85/'Monthly Master'!$D$2*100</x:f>
        <x:v>106.65699873896595</x:v>
      </x:c>
      <x:c r="D85" s="40" t="n">
        <x:f>'Monthly Master'!E85/'Monthly Master'!$E$2*100</x:f>
        <x:v>128.50989583333333</x:v>
      </x:c>
      <x:c r="E85" s="40" t="n">
        <x:f>'Monthly Master'!F85/'Monthly Master'!$F$2*100</x:f>
        <x:v>145.3553633217993</x:v>
      </x:c>
      <x:c r="F85" s="40" t="n">
        <x:f>'Monthly Master'!G85/'Monthly Master'!$G$2*100</x:f>
        <x:v>124.22392211404731</x:v>
      </x:c>
      <x:c r="G85" s="40" t="n">
        <x:f>'Monthly Master'!H85/'Monthly Master'!$H$2*100</x:f>
        <x:v>141.66002256487403</x:v>
      </x:c>
      <x:c r="H85" s="40" t="n">
        <x:f>'Monthly Master'!I85/'Monthly Master'!$I$2*100</x:f>
        <x:v>148.22151898734177</x:v>
      </x:c>
      <x:c r="I85" s="40" t="n">
        <x:f>'Monthly Master'!J85/'Monthly Master'!$J$2*100</x:f>
        <x:v>131.73773515308005</x:v>
      </x:c>
      <x:c r="J85" s="40" t="n">
        <x:f>'Monthly Master'!K85/'Monthly Master'!$K$2*100</x:f>
        <x:v>103.78556798255308</x:v>
      </x:c>
      <x:c r="K85" s="20" t="str">
        <x:f>'Monthly Master'!C85</x:f>
        <x:v>Validated retail regime</x:v>
      </x:c>
      <x:c r="L85" t="str">
        <x:f>TEXT(A85,"mmm-yy")</x:f>
        <x:v>Dec-25</x:v>
      </x:c>
      <x:c r="M85" s="39" t="n">
        <x:f>'Monthly Master'!L85/'Monthly Master'!$L$2*100</x:f>
        <x:v>135.189453125</x:v>
      </x:c>
      <x:c r="N85" s="40" t="n">
        <x:v>136.46079970483578</x:v>
      </x:c>
    </x:row>
    <x:row r="86">
      <x:c r="A86" s="21" t="n">
        <x:f>'Monthly Master'!A86</x:f>
        <x:v>46023</x:v>
      </x:c>
      <x:c r="B86" s="40" t="n">
        <x:f>'Monthly Master'!B86/'Monthly Master'!$B$2*100</x:f>
        <x:v>140.02001000500252</x:v>
      </x:c>
      <x:c r="C86" s="40" t="n">
        <x:f>'Monthly Master'!D86/'Monthly Master'!$D$2*100</x:f>
        <x:v>106.83858764186634</x:v>
      </x:c>
      <x:c r="D86" s="40" t="n">
        <x:f>'Monthly Master'!E86/'Monthly Master'!$E$2*100</x:f>
        <x:v>129.21458333333334</x:v>
      </x:c>
      <x:c r="E86" s="40" t="n">
        <x:f>'Monthly Master'!F86/'Monthly Master'!$F$2*100</x:f>
        <x:v>146.32076124567476</x:v>
      </x:c>
      <x:c r="F86" s="40" t="n">
        <x:f>'Monthly Master'!G86/'Monthly Master'!$G$2*100</x:f>
        <x:v>124.56884561891516</x:v>
      </x:c>
      <x:c r="G86" s="40" t="n">
        <x:f>'Monthly Master'!H86/'Monthly Master'!$H$2*100</x:f>
        <x:v>142.29672809326817</x:v>
      </x:c>
      <x:c r="H86" s="40" t="n">
        <x:f>'Monthly Master'!I86/'Monthly Master'!$I$2*100</x:f>
        <x:v>148.52079566003619</x:v>
      </x:c>
      <x:c r="I86" s="40" t="n">
        <x:f>'Monthly Master'!J86/'Monthly Master'!$J$2*100</x:f>
        <x:v>131.77351530800442</x:v>
      </x:c>
      <x:c r="J86" s="40" t="n">
        <x:f>'Monthly Master'!K86/'Monthly Master'!$K$2*100</x:f>
        <x:v>102.69513578827933</x:v>
      </x:c>
      <x:c r="K86" s="20" t="str">
        <x:f>'Monthly Master'!C86</x:f>
        <x:v>Validated retail regime</x:v>
      </x:c>
      <x:c r="L86" t="str">
        <x:f>TEXT(A86,"mmm-yy")</x:f>
        <x:v>Jan-26</x:v>
      </x:c>
      <x:c r="M86" s="39" t="n">
        <x:f>'Monthly Master'!L86/'Monthly Master'!$L$2*100</x:f>
        <x:v>144.9453125</x:v>
      </x:c>
      <x:c r="N86" s="40" t="n">
        <x:v>136.789971170056</x:v>
      </x:c>
    </x:row>
    <x:row r="87">
      <x:c r="A87" s="21" t="n">
        <x:f>'Monthly Master'!A87</x:f>
        <x:v>46054</x:v>
      </x:c>
      <x:c r="B87" s="40" t="n">
        <x:f>'Monthly Master'!B87/'Monthly Master'!$B$2*100</x:f>
        <x:v>140.02001000500252</x:v>
      </x:c>
      <x:c r="C87" s="40" t="n">
        <x:f>'Monthly Master'!D87/'Monthly Master'!$D$2*100</x:f>
        <x:v>109.57250945775536</x:v>
      </x:c>
      <x:c r="D87" s="40" t="n">
        <x:f>'Monthly Master'!E87/'Monthly Master'!$E$2*100</x:f>
        <x:v>129.4</x:v>
      </x:c>
      <x:c r="E87" s="40" t="n">
        <x:f>'Monthly Master'!F87/'Monthly Master'!$F$2*100</x:f>
        <x:v>145.34567474048444</x:v>
      </x:c>
      <x:c r="F87" s="40" t="n">
        <x:f>'Monthly Master'!G87/'Monthly Master'!$G$2*100</x:f>
        <x:v>124.58738989337044</x:v>
      </x:c>
      <x:c r="G87" s="40" t="n">
        <x:f>'Monthly Master'!H87/'Monthly Master'!$H$2*100</x:f>
        <x:v>142.0962767957879</x:v>
      </x:c>
      <x:c r="H87" s="40" t="n">
        <x:f>'Monthly Master'!I87/'Monthly Master'!$I$2*100</x:f>
        <x:v>141.81555153707055</x:v>
      </x:c>
      <x:c r="I87" s="40" t="n">
        <x:f>'Monthly Master'!J87/'Monthly Master'!$J$2*100</x:f>
        <x:v>131.85503504241976</x:v>
      </x:c>
      <x:c r="J87" s="40" t="n">
        <x:f>'Monthly Master'!K87/'Monthly Master'!$K$2*100</x:f>
        <x:v>101.76974198016593</x:v>
      </x:c>
      <x:c r="K87" s="20" t="str">
        <x:f>'Monthly Master'!C87</x:f>
        <x:v>Validated retail regime</x:v>
      </x:c>
      <x:c r="L87" t="str">
        <x:f>TEXT(A87,"mmm-yy")</x:f>
        <x:v>Feb-26</x:v>
      </x:c>
      <x:c r="M87" s="39" t="n">
        <x:f>'Monthly Master'!L87/'Monthly Master'!$L$2*100</x:f>
        <x:v>143.818359375</x:v>
      </x:c>
      <x:c r="N87" s="40" t="n">
        <x:v>135.08856331716217</x:v>
      </x:c>
    </x:row>
    <x:row r="88">
      <x:c r="A88" s="21" t="n">
        <x:f>'Monthly Master'!A88</x:f>
        <x:v>46082</x:v>
      </x:c>
      <x:c r="B88" s="40" t="n">
        <x:f>'Monthly Master'!B88/'Monthly Master'!$B$2*100</x:f>
        <x:v>140.02001000500252</x:v>
      </x:c>
      <x:c r="C88" s="40" t="n">
        <x:f>'Monthly Master'!D88/'Monthly Master'!$D$2*100</x:f>
        <x:v>112.09836065573771</x:v>
      </x:c>
      <x:c r="D88" s="40" t="n">
        <x:f>'Monthly Master'!E88/'Monthly Master'!$E$2*100</x:f>
        <x:v>131.20052083333334</x:v>
      </x:c>
      <x:c r="E88" s="40" t="n">
        <x:f>'Monthly Master'!F88/'Monthly Master'!$F$2*100</x:f>
        <x:v>145.0771626297578</x:v>
      </x:c>
      <x:c r="F88" s="40" t="n">
        <x:f>'Monthly Master'!G88/'Monthly Master'!$G$2*100</x:f>
        <x:v>124.67315716272603</x:v>
      </x:c>
      <x:c r="G88" s="40" t="n">
        <x:f>'Monthly Master'!H88/'Monthly Master'!$H$2*100</x:f>
        <x:v>142.71455434373826</x:v>
      </x:c>
      <x:c r="H88" s="40" t="n">
        <x:f>'Monthly Master'!I88/'Monthly Master'!$I$2*100</x:f>
        <x:v>141.9900542495479</x:v>
      </x:c>
      <x:c r="I88" s="40" t="n">
        <x:f>'Monthly Master'!J88/'Monthly Master'!$J$2*100</x:f>
        <x:v>131.56731833271854</x:v>
      </x:c>
      <x:c r="J88" s="40" t="n">
        <x:f>'Monthly Master'!K88/'Monthly Master'!$K$2*100</x:f>
        <x:v>101.55902332640763</x:v>
      </x:c>
      <x:c r="K88" s="20" t="str">
        <x:f>'Monthly Master'!C88</x:f>
        <x:v>Validated retail regime</x:v>
      </x:c>
      <x:c r="L88" t="str">
        <x:f>TEXT(A88,"mmm-yy")</x:f>
        <x:v>Mar-26</x:v>
      </x:c>
      <x:c r="M88" s="39" t="n">
        <x:f>'Monthly Master'!L88/'Monthly Master'!$L$2*100</x:f>
        <x:v>146.9248046875</x:v>
      </x:c>
      <x:c r="N88" s="40" t="n">
        <x:v>135.23627102218268</x:v>
      </x:c>
    </x:row>
    <x:row r="89">
      <x:c r="A89" s="21" t="n">
        <x:f>'Monthly Master'!A89</x:f>
        <x:v>46113</x:v>
      </x:c>
      <x:c r="B89" s="40" t="n">
        <x:f>'Monthly Master'!B89/'Monthly Master'!$B$2*100</x:f>
        <x:v>140.02001000500252</x:v>
      </x:c>
      <x:c r="C89" s="40" t="n">
        <x:f>'Monthly Master'!D89/'Monthly Master'!$D$2*100</x:f>
        <x:v>118.49180327868851</x:v>
      </x:c>
      <x:c r="D89" s="40" t="n">
        <x:f>'Monthly Master'!E89/'Monthly Master'!$E$2*100</x:f>
        <x:v>131.36927083333333</x:v>
      </x:c>
      <x:c r="E89" s="40" t="n">
        <x:f>'Monthly Master'!F89/'Monthly Master'!$F$2*100</x:f>
        <x:v>145.65743944636677</x:v>
      </x:c>
      <x:c r="F89" s="40" t="n">
        <x:f>'Monthly Master'!G89/'Monthly Master'!$G$2*100</x:f>
        <x:v>124.62447844228095</x:v>
      </x:c>
      <x:c r="G89" s="40" t="n">
        <x:f>'Monthly Master'!H89/'Monthly Master'!$H$2*100</x:f>
        <x:v>143.8898081985709</x:v>
      </x:c>
      <x:c r="H89" s="40" t="n">
        <x:f>'Monthly Master'!I89/'Monthly Master'!$I$2*100</x:f>
        <x:v>141.93761301989153</x:v>
      </x:c>
      <x:c r="I89" s="40" t="n">
        <x:f>'Monthly Master'!J89/'Monthly Master'!$J$2*100</x:f>
        <x:v>131.34894872740685</x:v>
      </x:c>
      <x:c r="J89" s="40" t="n">
        <x:f>'Monthly Master'!K89/'Monthly Master'!$K$2*100</x:f>
        <x:v>100.74856696579874</x:v>
      </x:c>
      <x:c r="K89" s="20" t="str">
        <x:f>'Monthly Master'!C89</x:f>
        <x:v>Validated retail regime</x:v>
      </x:c>
      <x:c r="L89" t="str">
        <x:f>TEXT(A89,"mmm-yy")</x:f>
        <x:v>Apr-26</x:v>
      </x:c>
      <x:c r="M89" s="39" t="n">
        <x:f>'Monthly Master'!L89/'Monthly Master'!$L$2*100</x:f>
        <x:v>150.41666666666666</x:v>
      </x:c>
      <x:c r="N89" s="40" t="n">
        <x:v>135.45021209703756</x:v>
      </x:c>
    </x:row>
    <x:row r="90">
      <x:c r="A90" s="21" t="n">
        <x:f>'Monthly Master'!A90</x:f>
        <x:v>46143</x:v>
      </x:c>
      <x:c r="B90" s="40" t="n">
        <x:f>'Monthly Master'!B90/'Monthly Master'!$B$2*100</x:f>
        <x:v>140.02001000500252</x:v>
      </x:c>
      <x:c r="C90" s="40" t="n">
        <x:f>'Monthly Master'!D90/'Monthly Master'!$D$2*100</x:f>
        <x:v>131.75115594787727</x:v>
      </x:c>
      <x:c r="D90" s="40" t="n">
        <x:f>'Monthly Master'!E90/'Monthly Master'!$E$2*100</x:f>
        <x:v>131.36927083333333</x:v>
      </x:c>
      <x:c r="E90" s="40" t="n">
        <x:f>'Monthly Master'!F90/'Monthly Master'!$F$2*100</x:f>
        <x:v>146.8470588235294</x:v>
      </x:c>
      <x:c r="F90" s="40" t="n">
        <x:f>'Monthly Master'!G90/'Monthly Master'!$G$2*100</x:f>
        <x:v>128.42002781641168</x:v>
      </x:c>
      <x:c r="G90" s="40" t="n">
        <x:f>'Monthly Master'!H90/'Monthly Master'!$H$2*100</x:f>
        <x:v>146.12448288830387</x:v>
      </x:c>
      <x:c r="H90" s="40" t="n">
        <x:f>'Monthly Master'!I90/'Monthly Master'!$I$2*100</x:f>
        <x:v>140.2206148282098</x:v>
      </x:c>
      <x:c r="I90" s="40" t="n">
        <x:f>'Monthly Master'!J90/'Monthly Master'!$J$2*100</x:f>
        <x:v>134.9594245665806</x:v>
      </x:c>
      <x:c r="J90" s="40" t="n">
        <x:f>'Monthly Master'!K90/'Monthly Master'!$K$2*100</x:f>
        <x:v>100.19598308356541</x:v>
      </x:c>
      <x:c r="K90" s="20" t="str">
        <x:f>'Monthly Master'!C90</x:f>
        <x:v>Validated retail regime</x:v>
      </x:c>
      <x:c r="L90" t="str">
        <x:f>TEXT(A90,"mmm-yy")</x:f>
        <x:v>May-26</x:v>
      </x:c>
      <x:c r="M90" s="39" t="n">
        <x:f>'Monthly Master'!L90/'Monthly Master'!$L$2*100</x:f>
        <x:v>154.64160156250003</x:v>
      </x:c>
      <x:c r="N90" s="40" t="n">
        <x:v>137.43113752487648</x:v>
      </x:c>
    </x:row>
    <x:row r="91">
      <x:c r="A91" s="21" t="n">
        <x:f>'Monthly Master'!A91</x:f>
        <x:v>46174</x:v>
      </x:c>
      <x:c r="B91" s="40" t="n">
        <x:f>'Monthly Master'!B91/'Monthly Master'!$B$2*100</x:f>
        <x:v>140.02001000500252</x:v>
      </x:c>
      <x:c r="C91" s="40" t="n">
        <x:f>'Monthly Master'!D91/'Monthly Master'!$D$2*100</x:f>
        <x:v>126.64480874316939</x:v>
      </x:c>
      <x:c r="D91" s="40" t="n">
        <x:f>'Monthly Master'!E91/'Monthly Master'!$E$2*100</x:f>
        <x:v>133.0375</x:v>
      </x:c>
      <x:c r="E91" s="40" t="n">
        <x:f>'Monthly Master'!F91/'Monthly Master'!$F$2*100</x:f>
        <x:v>147.12318339100347</x:v>
      </x:c>
      <x:c r="F91" s="40" t="n">
        <x:f>'Monthly Master'!G91/'Monthly Master'!$G$2*100</x:f>
        <x:v>128.42002781641168</x:v>
      </x:c>
      <x:c r="G91" s="40" t="n">
        <x:f>'Monthly Master'!H91/'Monthly Master'!$H$2*100</x:f>
        <x:v>147.5114704776232</x:v>
      </x:c>
      <x:c r="H91" s="40" t="n">
        <x:f>'Monthly Master'!I91/'Monthly Master'!$I$2*100</x:f>
        <x:v>140.89783001808317</x:v>
      </x:c>
      <x:c r="I91" s="40" t="n">
        <x:f>'Monthly Master'!J91/'Monthly Master'!$J$2*100</x:f>
        <x:v>136.89634821099224</x:v>
      </x:c>
      <x:c r="J91" s="40" t="n">
        <x:f>'Monthly Master'!K91/'Monthly Master'!$K$2*100</x:f>
        <x:v>99.84527651297468</x:v>
      </x:c>
      <x:c r="K91" s="20" t="str">
        <x:f>'Monthly Master'!C91</x:f>
        <x:v>Validated retail regime</x:v>
      </x:c>
      <x:c r="L91" t="str">
        <x:f>TEXT(A91,"mmm-yy")</x:f>
        <x:v>Jun-26</x:v>
      </x:c>
      <x:c r="M91" s="39" t="n">
        <x:f>'Monthly Master'!L91/'Monthly Master'!$L$2*100</x:f>
        <x:v>164.16927083333331</x:v>
      </x:c>
      <x:c r="N91" s="40" t="n">
        <x:v>138.43141913077756</x:v>
      </x:c>
    </x:row>
    <x:row r="92">
      <x:c r="A92" s="21" t="n">
        <x:f>'Monthly Master'!A92</x:f>
        <x:v>46204</x:v>
      </x:c>
      <x:c r="B92" s="40" t="n">
        <x:f>'Monthly Master'!B92/'Monthly Master'!$B$2*100</x:f>
        <x:v>140.02001000500252</x:v>
      </x:c>
      <x:c r="C92" s="40" t="n">
        <x:f>'Monthly Master'!D92/'Monthly Master'!$D$2*100</x:f>
        <x:v>120.04203446826396</x:v>
      </x:c>
      <x:c r="D92" s="40" t="n">
        <x:f>'Monthly Master'!E92/'Monthly Master'!$E$2*100</x:f>
        <x:v>133.0375</x:v>
      </x:c>
      <x:c r="E92" s="40" t="n">
        <x:f>'Monthly Master'!F92/'Monthly Master'!$F$2*100</x:f>
        <x:v>147.2975778546713</x:v>
      </x:c>
      <x:c r="F92" s="40" t="n">
        <x:f>'Monthly Master'!G92/'Monthly Master'!$G$2*100</x:f>
        <x:v>128.42002781641168</x:v>
      </x:c>
      <x:c r="G92" s="40" t="n">
        <x:f>'Monthly Master'!H92/'Monthly Master'!$H$2*100</x:f>
        <x:v>147.9691613388492</x:v>
      </x:c>
      <x:c r="H92" s="40" t="n">
        <x:f>'Monthly Master'!I92/'Monthly Master'!$I$2*100</x:f>
        <x:v>142.28209764918626</x:v>
      </x:c>
      <x:c r="I92" s="40" t="n">
        <x:f>'Monthly Master'!J92/'Monthly Master'!$J$2*100</x:f>
        <x:v>139.47436370343047</x:v>
      </x:c>
      <x:c r="J92" s="40" t="n">
        <x:f>'Monthly Master'!K92/'Monthly Master'!$K$2*100</x:f>
        <x:v>99.84380295595537</x:v>
      </x:c>
      <x:c r="K92" s="20" t="str">
        <x:f>'Monthly Master'!C92</x:f>
        <x:v>Validated retail regime</x:v>
      </x:c>
      <x:c r="L92" t="str">
        <x:f>TEXT(A92,"mmm-yy")</x:f>
        <x:v>Jul-26</x:v>
      </x:c>
      <x:c r="M92" s="39" t="n">
        <x:f>'Monthly Master'!L92/'Monthly Master'!$L$2*100</x:f>
        <x:v>169.65625</x:v>
      </x:c>
      <x:c r="N92" s="40" t="n">
        <x:v>139.5364126269694</x:v>
      </x:c>
    </x:row>
    <x:row r="93">
      <x:c r="A93" s="21" t="n">
        <x:f>'Monthly Master'!A93</x:f>
        <x:v>46235</x:v>
      </x:c>
      <x:c r="B93" s="40" t="n">
        <x:f>'Monthly Master'!B93/'Monthly Master'!$B$2*100</x:f>
        <x:v>140.02001000500252</x:v>
      </x:c>
      <x:c r="C93" s="40" t="n">
        <x:f>'Monthly Master'!D93/'Monthly Master'!$D$2*100</x:f>
        <x:v>119.00168137873057</x:v>
      </x:c>
      <x:c r="D93" s="40" t="n">
        <x:f>'Monthly Master'!E93/'Monthly Master'!$E$2*100</x:f>
        <x:v>133.0375</x:v>
      </x:c>
      <x:c r="E93" s="40" t="n">
        <x:f>'Monthly Master'!F93/'Monthly Master'!$F$2*100</x:f>
        <x:v>149.0584775086505</x:v>
      </x:c>
      <x:c r="F93" s="40" t="n">
        <x:f>'Monthly Master'!G93/'Monthly Master'!$G$2*100</x:f>
        <x:v>128.76216968011127</x:v>
      </x:c>
      <x:c r="G93" s="40" t="n">
        <x:f>'Monthly Master'!H93/'Monthly Master'!$H$2*100</x:f>
        <x:v>149.40015043249343</x:v>
      </x:c>
      <x:c r="H93" s="40" t="n">
        <x:f>'Monthly Master'!I93/'Monthly Master'!$I$2*100</x:f>
        <x:v>142.79746835443038</x:v>
      </x:c>
      <x:c r="I93" s="40" t="n">
        <x:f>'Monthly Master'!J93/'Monthly Master'!$J$2*100</x:f>
        <x:v>142.5153080044264</x:v>
      </x:c>
      <x:c r="J93" s="40" t="n">
        <x:f>'Monthly Master'!K93/'Monthly Master'!$K$2*100</x:f>
        <x:v>99.260274376317</x:v>
      </x:c>
      <x:c r="K93" s="20" t="str">
        <x:f>'Monthly Master'!C93</x:f>
        <x:v>Validated retail regime</x:v>
      </x:c>
      <x:c r="L93" t="str">
        <x:f>TEXT(A93,"mmm-yy")</x:f>
        <x:v>Aug-26</x:v>
      </x:c>
      <x:c r="M93" s="39" t="n">
        <x:f>'Monthly Master'!L93/'Monthly Master'!$L$2*100</x:f>
        <x:v>168.82063802083334</x:v>
      </x:c>
      <x:c r="N93" s="40" t="n">
        <x:v>140.86877411786537</x:v>
      </x:c>
    </x:row>
  </x:sheetData>
  <x:mergeCells>
    <x:mergeCell ref="M42:V44"/>
    <x:mergeCell ref="N42:W44"/>
    <x:mergeCell ref="N42:W45"/>
  </x:mergeCells>
  <x:pageMargins left="0.7" right="0.7" top="0.75" bottom="0.75" header="0.3" footer="0.3"/>
  <x:drawing xmlns:r="http://schemas.openxmlformats.org/officeDocument/2006/relationships" r:id="R8907e32040c9491a"/>
</x:worksheet>
</file>

<file path=xl/worksheets/sheet9.xml><?xml version="1.0" encoding="utf-8"?>
<x:worksheet xmlns:x="http://schemas.openxmlformats.org/spreadsheetml/2006/main">
  <x:sheetFormatPr defaultRowHeight="15"/>
  <x:cols>
    <x:col min="1" max="1" width="14" hidden="0" customWidth="1"/>
    <x:col min="2" max="2" width="48" hidden="0" customWidth="1"/>
    <x:col min="3" max="3" width="18" hidden="0" customWidth="1"/>
    <x:col min="4" max="4" width="22" hidden="0" customWidth="1"/>
    <x:col min="5" max="5" width="24" hidden="0" customWidth="1"/>
    <x:col min="6" max="6" width="30" hidden="0" customWidth="1"/>
    <x:col min="7" max="7" width="48" hidden="0" customWidth="1"/>
    <x:col min="8" max="8" width="58" hidden="0" customWidth="1"/>
  </x:cols>
  <x:sheetData>
    <x:row r="1">
      <x:c r="A1" s="54" t="str">
        <x:v>Date</x:v>
      </x:c>
      <x:c r="B1" s="54" t="str">
        <x:v>Evidence Point</x:v>
      </x:c>
      <x:c r="C1" s="54" t="str">
        <x:v>Observed / Reported MSRP</x:v>
      </x:c>
      <x:c r="D1" s="54" t="str">
        <x:v>Availability / Effective Timing</x:v>
      </x:c>
      <x:c r="E1" s="54" t="str">
        <x:v>Evidence Weight</x:v>
      </x:c>
      <x:c r="F1" s="54" t="str">
        <x:v>Source</x:v>
      </x:c>
      <x:c r="G1" s="54" t="str">
        <x:v>URL</x:v>
      </x:c>
      <x:c r="H1" s="54" t="str">
        <x:v>Methodological Use</x:v>
      </x:c>
    </x:row>
    <x:row r="2">
      <x:c r="A2" s="56" t="n">
        <x:v>44207</x:v>
      </x:c>
      <x:c r="B2" s="20" t="str">
        <x:v>First 2021 Marvel Legends preorder reported at the higher price; reporting said the broad increase was expected around July.</x:v>
      </x:c>
      <x:c r="C2" s="28" t="n">
        <x:v>22.99</x:v>
      </x:c>
      <x:c r="D2" s="20" t="str">
        <x:v>Expected around July 2021</x:v>
      </x:c>
      <x:c r="E2" s="20" t="str">
        <x:v>Early indicator, not final breakpoint</x:v>
      </x:c>
      <x:c r="F2" s="20" t="str">
        <x:v>MarvelousNews</x:v>
      </x:c>
      <x:c r="G2" s="20" t="str">
        <x:v>https://marvelousnews.com/252-28035</x:v>
      </x:c>
      <x:c r="H2" s="20" t="str">
        <x:v>Shows the new price was being signaled before it became the normal retail regime.</x:v>
      </x:c>
    </x:row>
    <x:row r="3">
      <x:c r="A3" s="56" t="n">
        <x:v>44246</x:v>
      </x:c>
      <x:c r="B3" s="20" t="str">
        <x:v>Hasbro Villains / Xemnu wave product copy still listed normal 6-inch figures at $19.99.</x:v>
      </x:c>
      <x:c r="C3" s="28" t="n">
        <x:v>19.99</x:v>
      </x:c>
      <x:c r="D3" s="20" t="str">
        <x:v>Spring 2021</x:v>
      </x:c>
      <x:c r="E3" s="20" t="str">
        <x:v>Strong product-level evidence</x:v>
      </x:c>
      <x:c r="F3" s="20" t="str">
        <x:v>ToyArk reproducing Hasbro product copy</x:v>
      </x:c>
      <x:c r="G3" s="20" t="str">
        <x:v>https://www.toyark.com/2021/02/19/marvel-legends-cosmic-and-villains-wave-official-images-and-details-418401</x:v>
      </x:c>
      <x:c r="H3" s="20" t="str">
        <x:v>Confirms $19.99 remained the active standard tier for spring 2021 product.</x:v>
      </x:c>
    </x:row>
    <x:row r="4">
      <x:c r="A4" s="56" t="n">
        <x:v>44295</x:v>
      </x:c>
      <x:c r="B4" s="20" t="str">
        <x:v>Hasbro Pulse Fan Fest Iron Man / Ursa Major assortment listed standard 6-inch figures at $22.99.</x:v>
      </x:c>
      <x:c r="C4" s="28" t="n">
        <x:v>22.99</x:v>
      </x:c>
      <x:c r="D4" s="20" t="str">
        <x:v>Summer 2021</x:v>
      </x:c>
      <x:c r="E4" s="20" t="str">
        <x:v>Strong product-level evidence</x:v>
      </x:c>
      <x:c r="F4" s="20" t="str">
        <x:v>MCUCollector24 reproducing Hasbro product copy</x:v>
      </x:c>
      <x:c r="G4" s="20" t="str">
        <x:v>https://www.mcucollector.com/news/hasbro-pulse-fan-fest-2021-marvel-legends</x:v>
      </x:c>
      <x:c r="H4" s="20" t="str">
        <x:v>Shows the new $22.99 MSRP on newly announced standard product before broad retail implementation.</x:v>
      </x:c>
    </x:row>
    <x:row r="5">
      <x:c r="A5" s="56" t="n">
        <x:v>44313</x:v>
      </x:c>
      <x:c r="B5" s="20" t="str">
        <x:v>Hasbro formally confirmed product price increases in response to higher input and freight costs.</x:v>
      </x:c>
      <x:c r="C5" s="28"/>
      <x:c r="D5" s="20" t="str">
        <x:v>Later in 2021</x:v>
      </x:c>
      <x:c r="E5" s="20" t="str">
        <x:v>Strong corporate evidence</x:v>
      </x:c>
      <x:c r="F5" s="20" t="str">
        <x:v>Hasbro Q1 2021 management remarks / investor materials</x:v>
      </x:c>
      <x:c r="G5" s="20" t="str">
        <x:v>https://investor.hasbro.com/static-files/78978eba-b7d9-41b3-9dc7-0b57431c104f</x:v>
      </x:c>
      <x:c r="H5" s="20" t="str">
        <x:v>Confirms the increase was a company pricing action, not merely retailer-specific pricing.</x:v>
      </x:c>
    </x:row>
    <x:row r="6">
      <x:c r="A6" s="56" t="n">
        <x:v>44403</x:v>
      </x:c>
      <x:c r="B6" s="20" t="str">
        <x:v>Hasbro stated price increases were being implemented during Q3 and should be fully realized by Q4.</x:v>
      </x:c>
      <x:c r="C6" s="28"/>
      <x:c r="D6" s="20" t="str">
        <x:v>Q3 2021</x:v>
      </x:c>
      <x:c r="E6" s="20" t="str">
        <x:v>Strong corporate timing evidence</x:v>
      </x:c>
      <x:c r="F6" s="20" t="str">
        <x:v>Hasbro Q2 2021 Earnings Management Remarks</x:v>
      </x:c>
      <x:c r="G6" s="20" t="str">
        <x:v>https://hasbro.gcs-web.com/static-files/e58ba37c-69cc-47bd-be58-b07819f91681</x:v>
      </x:c>
      <x:c r="H6" s="20" t="str">
        <x:v>Supports July 2021 as the analytical retail-regime breakpoint for $22.99.</x:v>
      </x:c>
    </x:row>
    <x:row r="7">
      <x:c r="A7" s="56" t="n">
        <x:v>44547</x:v>
      </x:c>
      <x:c r="B7" s="20" t="str">
        <x:v>Doctor Strange / Rintrah standard wave was still solicited at $22.99 for an expected April 2022 arrival.</x:v>
      </x:c>
      <x:c r="C7" s="28" t="n">
        <x:v>22.99</x:v>
      </x:c>
      <x:c r="D7" s="20" t="str">
        <x:v>Expected April 2022</x:v>
      </x:c>
      <x:c r="E7" s="20" t="str">
        <x:v>Strong overlap evidence</x:v>
      </x:c>
      <x:c r="F7" s="20" t="str">
        <x:v>AIPT</x:v>
      </x:c>
      <x:c r="G7" s="20" t="str">
        <x:v>https://aiptcomics.com/2021/12/17/marvel-legends-multiverse-of-madness/</x:v>
      </x:c>
      <x:c r="H7" s="20" t="str">
        <x:v>Confirms older-price product continued into early 2022 even as a new increase was being prepared.</x:v>
      </x:c>
    </x:row>
    <x:row r="8">
      <x:c r="A8" s="56" t="n">
        <x:v>44599</x:v>
      </x:c>
      <x:c r="B8" s="20" t="str">
        <x:v>Hasbro said additional price increases were scheduled to take effect in the second quarter of 2022.</x:v>
      </x:c>
      <x:c r="C8" s="28"/>
      <x:c r="D8" s="20" t="str">
        <x:v>Q2 2022</x:v>
      </x:c>
      <x:c r="E8" s="20" t="str">
        <x:v>Strong corporate timing evidence</x:v>
      </x:c>
      <x:c r="F8" s="20" t="str">
        <x:v>Hasbro Q4 2021 Earnings Management Remarks</x:v>
      </x:c>
      <x:c r="G8" s="20" t="str">
        <x:v>https://investor.hasbro.com/static-files/52136bc2-ff14-4bb5-9290-482b28fd5220</x:v>
      </x:c>
      <x:c r="H8" s="20" t="str">
        <x:v>Supports April 2022 as the analytical retail-regime breakpoint for $24.99.</x:v>
      </x:c>
    </x:row>
    <x:row r="9">
      <x:c r="A9" s="56" t="n">
        <x:v>44600</x:v>
      </x:c>
      <x:c r="B9" s="20" t="str">
        <x:v>Bonebreaker X-Men wave preorders opened with standard figures at $24.99.</x:v>
      </x:c>
      <x:c r="C9" s="28" t="n">
        <x:v>24.99</x:v>
      </x:c>
      <x:c r="D9" s="20" t="str">
        <x:v>2022 release</x:v>
      </x:c>
      <x:c r="E9" s="20" t="str">
        <x:v>Strong product-level evidence</x:v>
      </x:c>
      <x:c r="F9" s="20" t="str">
        <x:v>ComicBook.com</x:v>
      </x:c>
      <x:c r="G9" s="20" t="str">
        <x:v>https://comicbook.com/marvel/news/new-x-men-marvel-legends-bonebreaker-build-a-figure-wave-pre-orders-are-live/</x:v>
      </x:c>
      <x:c r="H9" s="20" t="str">
        <x:v>Shows $24.99 on newly solicited standard product before Q2 retail implementation.</x:v>
      </x:c>
    </x:row>
  </x:sheetData>
  <x:pageMargins left="0.7" right="0.7" top="0.75" bottom="0.75" header="0.3" footer="0.3"/>
  <x:tableParts count="1">
    <x:tablePart xmlns:r="http://schemas.openxmlformats.org/officeDocument/2006/relationships" r:id="R7fe827b865404959"/>
  </x:tableParts>
</x:worksheet>
</file>

<file path=xl/worksheets/sheet10.xml><?xml version="1.0" encoding="utf-8"?>
<x:worksheet xmlns:x="http://schemas.openxmlformats.org/spreadsheetml/2006/main">
  <x:sheetFormatPr defaultRowHeight="15"/>
  <x:cols>
    <x:col min="1" max="1" width="10" hidden="0" customWidth="1"/>
    <x:col min="2" max="2" width="24" hidden="0" customWidth="1"/>
    <x:col min="3" max="3" width="14" hidden="0" customWidth="1"/>
    <x:col min="4" max="4" width="14" hidden="0" customWidth="1"/>
    <x:col min="5" max="5" width="20" hidden="0" customWidth="1"/>
    <x:col min="6" max="6" width="50" hidden="0" customWidth="1"/>
    <x:col min="7" max="7" width="34" hidden="0" customWidth="1"/>
    <x:col min="8" max="8" width="34" hidden="0" customWidth="1"/>
    <x:col min="9" max="9" width="48" hidden="0" customWidth="1"/>
    <x:col min="10" max="10" width="48" hidden="0" customWidth="1"/>
  </x:cols>
  <x:sheetData>
    <x:row r="1">
      <x:c r="A1" s="62" t="str">
        <x:v>Year</x:v>
      </x:c>
      <x:c r="B1" s="62" t="str">
        <x:v>China Urban Private Manufacturing Wage (yuan)</x:v>
      </x:c>
      <x:c r="C1" s="62" t="str">
        <x:v>2019=100</x:v>
      </x:c>
      <x:c r="D1" s="62" t="str">
        <x:v>YoY Change</x:v>
      </x:c>
      <x:c r="E1" s="62" t="str">
        <x:v>Use Class</x:v>
      </x:c>
      <x:c r="F1" s="62" t="str">
        <x:v>Why This Measure</x:v>
      </x:c>
      <x:c r="G1" s="62" t="str">
        <x:v>Source Organization</x:v>
      </x:c>
      <x:c r="H1" s="62" t="str">
        <x:v>Source Publication</x:v>
      </x:c>
      <x:c r="I1" s="62" t="str">
        <x:v>Exact URL</x:v>
      </x:c>
      <x:c r="J1" s="62" t="str">
        <x:v>Method Note</x:v>
      </x:c>
    </x:row>
    <x:row r="2">
      <x:c r="A2" s="20" t="n">
        <x:v>2019</x:v>
      </x:c>
      <x:c r="B2" s="64" t="n">
        <x:v>52858</x:v>
      </x:c>
      <x:c r="C2" s="40" t="n">
        <x:f>B2/$B$2*100</x:f>
        <x:v>100</x:v>
      </x:c>
      <x:c r="D2" s="23"/>
      <x:c r="E2" s="20" t="str">
        <x:v>Primary labor proxy</x:v>
      </x:c>
      <x:c r="F2" s="20" t="str">
        <x:v>Manufacturing-sector wage in urban private units; closer to contract manufacturing than broad all-worker wages.</x:v>
      </x:c>
      <x:c r="G2" s="20" t="str">
        <x:v>National Bureau of Statistics of China</x:v>
      </x:c>
      <x:c r="H2" s="20" t="str">
        <x:v>Average Annual Wage of Persons Employed in Urban Private Units in 2020</x:v>
      </x:c>
      <x:c r="I2" s="20" t="str">
        <x:v>https://www.stats.gov.cn/english/PressRelease/202105/t20210520_1817729.html</x:v>
      </x:c>
      <x:c r="J2" s="20" t="str">
        <x:v>2019 value is reported in the 2020 release's manufacturing-sector table.</x:v>
      </x:c>
    </x:row>
    <x:row r="3">
      <x:c r="A3" s="20" t="n">
        <x:v>2020</x:v>
      </x:c>
      <x:c r="B3" s="64" t="n">
        <x:v>57910</x:v>
      </x:c>
      <x:c r="C3" s="40" t="n">
        <x:f>B3/$B$2*100</x:f>
        <x:v>109.55768284838625</x:v>
      </x:c>
      <x:c r="D3" s="23" t="n">
        <x:f>B3/B2-1</x:f>
        <x:v>0.09557682848386251</x:v>
      </x:c>
      <x:c r="E3" s="20" t="str">
        <x:v>Primary labor proxy</x:v>
      </x:c>
      <x:c r="F3" s="20" t="str">
        <x:v>Same series and definition as 2019.</x:v>
      </x:c>
      <x:c r="G3" s="20" t="str">
        <x:v>National Bureau of Statistics of China</x:v>
      </x:c>
      <x:c r="H3" s="20" t="str">
        <x:v>Average Annual Wage of Persons Employed in Urban Private Units in 2020</x:v>
      </x:c>
      <x:c r="I3" s="20" t="str">
        <x:v>https://www.stats.gov.cn/english/PressRelease/202105/t20210520_1817729.html</x:v>
      </x:c>
      <x:c r="J3" s="20" t="str">
        <x:v>2020 manufacturing-sector value.</x:v>
      </x:c>
    </x:row>
    <x:row r="4">
      <x:c r="A4" s="20" t="n">
        <x:v>2021</x:v>
      </x:c>
      <x:c r="B4" s="64" t="n">
        <x:v>63946</x:v>
      </x:c>
      <x:c r="C4" s="40" t="n">
        <x:f>B4/$B$2*100</x:f>
        <x:v>120.9769571304249</x:v>
      </x:c>
      <x:c r="D4" s="23" t="n">
        <x:f>B4/B3-1</x:f>
        <x:v>0.10423070281471247</x:v>
      </x:c>
      <x:c r="E4" s="20" t="str">
        <x:v>Primary labor proxy</x:v>
      </x:c>
      <x:c r="F4" s="20" t="str">
        <x:v>Same series and definition.</x:v>
      </x:c>
      <x:c r="G4" s="20" t="str">
        <x:v>National Bureau of Statistics of China</x:v>
      </x:c>
      <x:c r="H4" s="20" t="str">
        <x:v>Average Annual Wage of Persons Employed in Urban Private Units in 2021</x:v>
      </x:c>
      <x:c r="I4" s="20" t="str">
        <x:v>https://www.stats.gov.cn/english/PressRelease/202205/t20220523_1857682.html</x:v>
      </x:c>
      <x:c r="J4" s="20" t="str">
        <x:v>2021 manufacturing-sector value.</x:v>
      </x:c>
    </x:row>
    <x:row r="5">
      <x:c r="A5" s="20" t="n">
        <x:v>2022</x:v>
      </x:c>
      <x:c r="B5" s="64" t="n">
        <x:v>67352</x:v>
      </x:c>
      <x:c r="C5" s="40" t="n">
        <x:f>B5/$B$2*100</x:f>
        <x:v>127.42063642211208</x:v>
      </x:c>
      <x:c r="D5" s="23" t="n">
        <x:f>B5/B4-1</x:f>
        <x:v>0.05326369123948327</x:v>
      </x:c>
      <x:c r="E5" s="20" t="str">
        <x:v>Primary labor proxy</x:v>
      </x:c>
      <x:c r="F5" s="20" t="str">
        <x:v>Same series and definition.</x:v>
      </x:c>
      <x:c r="G5" s="20" t="str">
        <x:v>National Bureau of Statistics of China</x:v>
      </x:c>
      <x:c r="H5" s="20" t="str">
        <x:v>Average Annual Wage of Persons Employed in Urban Private Units in 2022</x:v>
      </x:c>
      <x:c r="I5" s="20" t="str">
        <x:v>https://www.stats.gov.cn/english/PressRelease/202305/t20230517_1939625.html</x:v>
      </x:c>
      <x:c r="J5" s="20" t="str">
        <x:v>2022 manufacturing-sector value.</x:v>
      </x:c>
    </x:row>
    <x:row r="6">
      <x:c r="A6" s="20" t="n">
        <x:v>2023</x:v>
      </x:c>
      <x:c r="B6" s="64" t="n">
        <x:v>71762</x:v>
      </x:c>
      <x:c r="C6" s="40" t="n">
        <x:f>B6/$B$2*100</x:f>
        <x:v>135.7637443717129</x:v>
      </x:c>
      <x:c r="D6" s="23" t="n">
        <x:f>B6/B5-1</x:f>
        <x:v>0.06547689749376406</x:v>
      </x:c>
      <x:c r="E6" s="20" t="str">
        <x:v>Primary labor proxy</x:v>
      </x:c>
      <x:c r="F6" s="20" t="str">
        <x:v>Same series and definition.</x:v>
      </x:c>
      <x:c r="G6" s="20" t="str">
        <x:v>National Bureau of Statistics of China</x:v>
      </x:c>
      <x:c r="H6" s="20" t="str">
        <x:v>Average Annual Wages of Persons Employed in Urban Units in 2024</x:v>
      </x:c>
      <x:c r="I6" s="20" t="str">
        <x:v>https://www.stats.gov.cn/english/PressRelease/202505/t20250520_1959885.html</x:v>
      </x:c>
      <x:c r="J6" s="20" t="str">
        <x:v>2023 value is reported alongside 2024 in Table 5.</x:v>
      </x:c>
    </x:row>
    <x:row r="7">
      <x:c r="A7" s="20" t="n">
        <x:v>2024</x:v>
      </x:c>
      <x:c r="B7" s="64" t="n">
        <x:v>71467</x:v>
      </x:c>
      <x:c r="C7" s="40" t="n">
        <x:f>B7/$B$2*100</x:f>
        <x:v>135.20564531385978</x:v>
      </x:c>
      <x:c r="D7" s="23" t="n">
        <x:f>B7/B6-1</x:f>
        <x:v>-0.004110810735486803</x:v>
      </x:c>
      <x:c r="E7" s="20" t="str">
        <x:v>Primary labor proxy</x:v>
      </x:c>
      <x:c r="F7" s="20" t="str">
        <x:v>Same series and definition.</x:v>
      </x:c>
      <x:c r="G7" s="20" t="str">
        <x:v>National Bureau of Statistics of China</x:v>
      </x:c>
      <x:c r="H7" s="20" t="str">
        <x:v>Average Annual Wages of Persons Employed in Urban Units in 2024</x:v>
      </x:c>
      <x:c r="I7" s="20" t="str">
        <x:v>https://www.stats.gov.cn/english/PressRelease/202505/t20250520_1959885.html</x:v>
      </x:c>
      <x:c r="J7" s="20" t="str">
        <x:v>2024 manufacturing-sector value; nominally 0.4% below 2023.</x:v>
      </x:c>
    </x:row>
    <x:row r="8">
      <x:c r="A8" s="20" t="n">
        <x:v>2025</x:v>
      </x:c>
      <x:c r="B8" s="64" t="n">
        <x:v>76055</x:v>
      </x:c>
      <x:c r="C8" s="40" t="n">
        <x:f>B8/$B$2*100</x:f>
        <x:v>143.8855045593855</x:v>
      </x:c>
      <x:c r="D8" s="23" t="n">
        <x:f>B8/B7-1</x:f>
        <x:v>0.06419746176557006</x:v>
      </x:c>
      <x:c r="E8" s="20" t="str">
        <x:v>Primary labor proxy</x:v>
      </x:c>
      <x:c r="F8" s="20" t="str">
        <x:v>Same series and definition.</x:v>
      </x:c>
      <x:c r="G8" s="20" t="str">
        <x:v>National Bureau of Statistics of China</x:v>
      </x:c>
      <x:c r="H8" s="20" t="str">
        <x:v>Average Annual Wages of Employees in Urban Units in 2025</x:v>
      </x:c>
      <x:c r="I8" s="20" t="str">
        <x:v>https://www.stats.gov.cn/english/PressRelease/202605/t20260518_1963740.html</x:v>
      </x:c>
      <x:c r="J8" s="20" t="str">
        <x:v>Latest full-year observation available; 2026 annual wage is not yet available.</x:v>
      </x:c>
    </x:row>
  </x:sheetData>
  <x:pageMargins left="0.7" right="0.7" top="0.75" bottom="0.75" header="0.3" footer="0.3"/>
  <x:drawing xmlns:r="http://schemas.openxmlformats.org/officeDocument/2006/relationships" r:id="Reec99d5f0a4a4dfb"/>
  <x:tableParts count="1">
    <x:tablePart xmlns:r="http://schemas.openxmlformats.org/officeDocument/2006/relationships" r:id="R37f50ba1358445b0"/>
  </x:tableParts>
</x:worksheet>
</file>

<file path=xl/worksheets/sheet11.xml><?xml version="1.0" encoding="utf-8"?>
<x:worksheet xmlns:x="http://schemas.openxmlformats.org/spreadsheetml/2006/main">
  <x:sheetFormatPr defaultRowHeight="15"/>
  <x:cols>
    <x:col min="1" max="1" width="20" hidden="0" customWidth="1"/>
    <x:col min="2" max="2" width="24" hidden="0" customWidth="1"/>
    <x:col min="3" max="3" width="18" hidden="0" customWidth="1"/>
    <x:col min="4" max="4" width="30" hidden="0" customWidth="1"/>
    <x:col min="5" max="5" width="20" hidden="0" customWidth="1"/>
    <x:col min="6" max="6" width="24" hidden="0" customWidth="1"/>
    <x:col min="7" max="7" width="18" hidden="0" customWidth="1"/>
    <x:col min="8" max="8" width="24" hidden="0" customWidth="1"/>
    <x:col min="9" max="9" width="21" hidden="0" customWidth="1"/>
    <x:col min="10" max="10" width="52" hidden="0" customWidth="1"/>
    <x:col min="11" max="11" width="48" hidden="0" customWidth="1"/>
    <x:col min="12" max="12" width="48" hidden="0" customWidth="1"/>
    <x:col min="13" max="13" width="48" hidden="0" customWidth="1"/>
  </x:cols>
  <x:sheetData>
    <x:row r="1">
      <x:c r="A1" s="70" t="str">
        <x:v>Period</x:v>
      </x:c>
      <x:c r="B1" s="70" t="str">
        <x:v>China Manufacturing Wage (yuan/year)</x:v>
      </x:c>
      <x:c r="C1" s="70" t="str">
        <x:v>China Index (2019=100)</x:v>
      </x:c>
      <x:c r="D1" s="70" t="str">
        <x:v>Vietnam Manufacturing Compensation (thousand VND/month)</x:v>
      </x:c>
      <x:c r="E1" s="70" t="str">
        <x:v>Vietnam Index (2019=100)</x:v>
      </x:c>
      <x:c r="F1" s="70" t="str">
        <x:v>India Factory-Sector Wages to Workers (₹ lakh)</x:v>
      </x:c>
      <x:c r="G1" s="70" t="str">
        <x:v>India Factory Workers</x:v>
      </x:c>
      <x:c r="H1" s="70" t="str">
        <x:v>India Derived Wage / Worker (₹/year)</x:v>
      </x:c>
      <x:c r="I1" s="70" t="str">
        <x:v>India Index (2019-20=100)</x:v>
      </x:c>
      <x:c r="J1" s="70" t="str">
        <x:v>Comparability Note</x:v>
      </x:c>
      <x:c r="K1" s="70" t="str">
        <x:v>China Source</x:v>
      </x:c>
      <x:c r="L1" s="70" t="str">
        <x:v>Vietnam Source</x:v>
      </x:c>
      <x:c r="M1" s="70" t="str">
        <x:v>India Source</x:v>
      </x:c>
    </x:row>
    <x:row r="2">
      <x:c r="A2" s="20" t="str">
        <x:v>2019 / India 2019-20</x:v>
      </x:c>
      <x:c r="B2" s="64" t="n">
        <x:v>52858</x:v>
      </x:c>
      <x:c r="C2" s="40" t="n">
        <x:f>B2/$B$2*100</x:f>
        <x:v>100</x:v>
      </x:c>
      <x:c r="D2" s="64" t="n">
        <x:v>8569</x:v>
      </x:c>
      <x:c r="E2" s="40" t="n">
        <x:f>IF(D2="","",D2/$D$2*100)</x:f>
        <x:v>100</x:v>
      </x:c>
      <x:c r="F2" s="64" t="n">
        <x:v>22890520</x:v>
      </x:c>
      <x:c r="G2" s="64" t="n">
        <x:v>13058156</x:v>
      </x:c>
      <x:c r="H2" s="64" t="n">
        <x:f>IF(OR(F2="",G2=""),"",F2*100000/G2)</x:f>
        <x:v>175296.7264290609</x:v>
      </x:c>
      <x:c r="I2" s="40" t="n">
        <x:f>IF(H2="","",H2/$H$2*100)</x:f>
        <x:v>100</x:v>
      </x:c>
      <x:c r="J2" s="20" t="str">
        <x:v>Indexed separately by country. Levels are not directly comparable because definitions, currencies, and reporting periods differ.</x:v>
      </x:c>
      <x:c r="K2" s="20" t="str">
        <x:v>https://www.stats.gov.cn/english/PressRelease/202105/t20210520_1817729.html</x:v>
      </x:c>
      <x:c r="L2" s="20" t="str">
        <x:v>https://www.nso.gov.vn/wp-content/uploads/2026/01/Nien-giam-tom-tat-2024.pdf</x:v>
      </x:c>
      <x:c r="M2" s="20" t="str">
        <x:v>https://new.mospi.gov.in/uploads/publications_reports/publications_reports1759229789833_2b8ed8ad-314e-46b7-b123-b08cb17f1233_ASI_Summary_Results_2023-24C.pdf</x:v>
      </x:c>
    </x:row>
    <x:row r="3">
      <x:c r="A3" s="20" t="str">
        <x:v>2020 / India 2020-21</x:v>
      </x:c>
      <x:c r="B3" s="64" t="n">
        <x:v>57910</x:v>
      </x:c>
      <x:c r="C3" s="40" t="n">
        <x:f>B3/$B$2*100</x:f>
        <x:v>109.55768284838625</x:v>
      </x:c>
      <x:c r="D3" s="64" t="n">
        <x:v>9020</x:v>
      </x:c>
      <x:c r="E3" s="40" t="n">
        <x:f>IF(D3="","",D3/$D$2*100)</x:f>
        <x:v>105.26315789473684</x:v>
      </x:c>
      <x:c r="F3" s="64" t="n">
        <x:v>22261548</x:v>
      </x:c>
      <x:c r="G3" s="64" t="n">
        <x:v>12594563</x:v>
      </x:c>
      <x:c r="H3" s="64" t="n">
        <x:f>IF(OR(F3="",G3=""),"",F3*100000/G3)</x:f>
        <x:v>176755.2236627821</x:v>
      </x:c>
      <x:c r="I3" s="40" t="n">
        <x:f>IF(H3="","",H3/$H$2*100)</x:f>
        <x:v>100.83201624093729</x:v>
      </x:c>
      <x:c r="J3" s="20" t="str">
        <x:v>Indexed separately by country. Levels are not directly comparable because definitions, currencies, and reporting periods differ.</x:v>
      </x:c>
      <x:c r="K3" s="20" t="str">
        <x:v>https://www.stats.gov.cn/english/PressRelease/202105/t20210520_1817729.html</x:v>
      </x:c>
      <x:c r="L3" s="20" t="str">
        <x:v>https://www.nso.gov.vn/wp-content/uploads/2026/01/Nien-giam-tom-tat-2024.pdf</x:v>
      </x:c>
      <x:c r="M3" s="20" t="str">
        <x:v>https://new.mospi.gov.in/uploads/publications_reports/publications_reports1759229789833_2b8ed8ad-314e-46b7-b123-b08cb17f1233_ASI_Summary_Results_2023-24C.pdf</x:v>
      </x:c>
    </x:row>
    <x:row r="4">
      <x:c r="A4" s="20" t="str">
        <x:v>2021 / India 2021-22</x:v>
      </x:c>
      <x:c r="B4" s="64" t="n">
        <x:v>63946</x:v>
      </x:c>
      <x:c r="C4" s="40" t="n">
        <x:f>B4/$B$2*100</x:f>
        <x:v>120.9769571304249</x:v>
      </x:c>
      <x:c r="D4" s="64" t="n">
        <x:v>9575</x:v>
      </x:c>
      <x:c r="E4" s="40" t="n">
        <x:f>IF(D4="","",D4/$D$2*100)</x:f>
        <x:v>111.7399929980161</x:v>
      </x:c>
      <x:c r="F4" s="64" t="n">
        <x:v>26455930</x:v>
      </x:c>
      <x:c r="G4" s="64" t="n">
        <x:v>13609931</x:v>
      </x:c>
      <x:c r="H4" s="64" t="n">
        <x:f>IF(OR(F4="",G4=""),"",F4*100000/G4)</x:f>
        <x:v>194386.95170460452</x:v>
      </x:c>
      <x:c r="I4" s="40" t="n">
        <x:f>IF(H4="","",H4/$H$2*100)</x:f>
        <x:v>110.89023489738075</x:v>
      </x:c>
      <x:c r="J4" s="20" t="str">
        <x:v>Indexed separately by country. Levels are not directly comparable because definitions, currencies, and reporting periods differ.</x:v>
      </x:c>
      <x:c r="K4" s="20" t="str">
        <x:v>https://www.stats.gov.cn/english/PressRelease/202205/t20220523_1857682.html</x:v>
      </x:c>
      <x:c r="L4" s="20" t="str">
        <x:v>https://www.nso.gov.vn/wp-content/uploads/2026/01/Nien-giam-tom-tat-2024.pdf</x:v>
      </x:c>
      <x:c r="M4" s="20" t="str">
        <x:v>https://new.mospi.gov.in/uploads/publications_reports/publications_reports1759229789833_2b8ed8ad-314e-46b7-b123-b08cb17f1233_ASI_Summary_Results_2023-24C.pdf</x:v>
      </x:c>
    </x:row>
    <x:row r="5">
      <x:c r="A5" s="20" t="str">
        <x:v>2022 / India 2022-23</x:v>
      </x:c>
      <x:c r="B5" s="64" t="n">
        <x:v>67352</x:v>
      </x:c>
      <x:c r="C5" s="40" t="n">
        <x:f>B5/$B$2*100</x:f>
        <x:v>127.42063642211208</x:v>
      </x:c>
      <x:c r="D5" s="64" t="n">
        <x:v>10586</x:v>
      </x:c>
      <x:c r="E5" s="40" t="n">
        <x:f>IF(D5="","",D5/$D$2*100)</x:f>
        <x:v>123.53833586182752</x:v>
      </x:c>
      <x:c r="F5" s="64" t="n">
        <x:v>29990380</x:v>
      </x:c>
      <x:c r="G5" s="64" t="n">
        <x:v>14616971</x:v>
      </x:c>
      <x:c r="H5" s="64" t="n">
        <x:f>IF(OR(F5="",G5=""),"",F5*100000/G5)</x:f>
        <x:v>205175.06670841723</x:v>
      </x:c>
      <x:c r="I5" s="40" t="n">
        <x:f>IF(H5="","",H5/$H$2*100)</x:f>
        <x:v>117.04443710273593</x:v>
      </x:c>
      <x:c r="J5" s="20" t="str">
        <x:v>Indexed separately by country. Levels are not directly comparable because definitions, currencies, and reporting periods differ.</x:v>
      </x:c>
      <x:c r="K5" s="20" t="str">
        <x:v>https://www.stats.gov.cn/english/PressRelease/202305/t20230517_1939625.html</x:v>
      </x:c>
      <x:c r="L5" s="20" t="str">
        <x:v>https://www.nso.gov.vn/wp-content/uploads/2026/01/Nien-giam-tom-tat-2024.pdf</x:v>
      </x:c>
      <x:c r="M5" s="20" t="str">
        <x:v>https://new.mospi.gov.in/uploads/publications_reports/publications_reports1759229789833_2b8ed8ad-314e-46b7-b123-b08cb17f1233_ASI_Summary_Results_2023-24C.pdf</x:v>
      </x:c>
    </x:row>
    <x:row r="6">
      <x:c r="A6" s="20" t="str">
        <x:v>2023 / India 2023-24</x:v>
      </x:c>
      <x:c r="B6" s="64" t="n">
        <x:v>71762</x:v>
      </x:c>
      <x:c r="C6" s="40" t="n">
        <x:f>B6/$B$2*100</x:f>
        <x:v>135.7637443717129</x:v>
      </x:c>
      <x:c r="D6" s="64" t="n">
        <x:v>10569</x:v>
      </x:c>
      <x:c r="E6" s="40" t="n">
        <x:f>IF(D6="","",D6/$D$2*100)</x:f>
        <x:v>123.33994631812347</x:v>
      </x:c>
      <x:c r="F6" s="64" t="n">
        <x:v>33598653</x:v>
      </x:c>
      <x:c r="G6" s="64" t="n">
        <x:v>15519957</x:v>
      </x:c>
      <x:c r="H6" s="64" t="n">
        <x:f>IF(OR(F6="",G6=""),"",F6*100000/G6)</x:f>
        <x:v>216486.76603936468</x:v>
      </x:c>
      <x:c r="I6" s="40" t="n">
        <x:f>IF(H6="","",H6/$H$2*100)</x:f>
        <x:v>123.49732390865415</x:v>
      </x:c>
      <x:c r="J6" s="20" t="str">
        <x:v>Indexed separately by country. Levels are not directly comparable because definitions, currencies, and reporting periods differ.</x:v>
      </x:c>
      <x:c r="K6" s="20" t="str">
        <x:v>https://www.stats.gov.cn/english/PressRelease/202505/t20250520_1959885.html</x:v>
      </x:c>
      <x:c r="L6" s="20" t="str">
        <x:v>https://www.nso.gov.vn/wp-content/uploads/2026/01/Nien-giam-tom-tat-2024.pdf</x:v>
      </x:c>
      <x:c r="M6" s="20" t="str">
        <x:v>https://new.mospi.gov.in/uploads/publications_reports/publications_reports1759229789833_2b8ed8ad-314e-46b7-b123-b08cb17f1233_ASI_Summary_Results_2023-24C.pdf</x:v>
      </x:c>
    </x:row>
    <x:row r="7">
      <x:c r="A7" s="20" t="str">
        <x:v>2024</x:v>
      </x:c>
      <x:c r="B7" s="64" t="n">
        <x:v>71467</x:v>
      </x:c>
      <x:c r="C7" s="40" t="n">
        <x:f>B7/$B$2*100</x:f>
        <x:v>135.20564531385978</x:v>
      </x:c>
      <x:c r="D7" s="64"/>
      <x:c r="E7" s="40" t="str">
        <x:f>IF(D7="","",D7/$D$2*100)</x:f>
      </x:c>
      <x:c r="F7" s="64"/>
      <x:c r="G7" s="64"/>
      <x:c r="H7" s="64" t="str">
        <x:f>IF(OR(F7="",G7=""),"",F7*100000/G7)</x:f>
      </x:c>
      <x:c r="I7" s="40" t="str">
        <x:f>IF(H7="","",H7/$H$2*100)</x:f>
      </x:c>
      <x:c r="J7" s="20" t="str">
        <x:v>Indexed separately by country. Levels are not directly comparable because definitions, currencies, and reporting periods differ.</x:v>
      </x:c>
      <x:c r="K7" s="20" t="str">
        <x:v>https://www.stats.gov.cn/english/PressRelease/202505/t20250520_1959885.html</x:v>
      </x:c>
      <x:c r="L7" s="20" t="str"/>
      <x:c r="M7" s="20" t="str"/>
    </x:row>
    <x:row r="8">
      <x:c r="A8" s="20" t="str">
        <x:v>2025</x:v>
      </x:c>
      <x:c r="B8" s="64" t="n">
        <x:v>76055</x:v>
      </x:c>
      <x:c r="C8" s="40" t="n">
        <x:f>B8/$B$2*100</x:f>
        <x:v>143.8855045593855</x:v>
      </x:c>
      <x:c r="D8" s="64"/>
      <x:c r="E8" s="40" t="str">
        <x:f>IF(D8="","",D8/$D$2*100)</x:f>
      </x:c>
      <x:c r="F8" s="64"/>
      <x:c r="G8" s="64"/>
      <x:c r="H8" s="64" t="str">
        <x:f>IF(OR(F8="",G8=""),"",F8*100000/G8)</x:f>
      </x:c>
      <x:c r="I8" s="40" t="str">
        <x:f>IF(H8="","",H8/$H$2*100)</x:f>
      </x:c>
      <x:c r="J8" s="20" t="str">
        <x:v>Indexed separately by country. Levels are not directly comparable because definitions, currencies, and reporting periods differ.</x:v>
      </x:c>
      <x:c r="K8" s="20" t="str">
        <x:v>https://www.stats.gov.cn/english/PressRelease/202605/t20260518_1963740.html</x:v>
      </x:c>
      <x:c r="L8" s="20" t="str"/>
      <x:c r="M8" s="20" t="str"/>
    </x:row>
    <x:row r="11">
      <x:c r="A11" s="73" t="str">
        <x:v>Indexed Labor-Pressure Summary</x:v>
      </x:c>
      <x:c r="B11" s="73"/>
      <x:c r="C11" s="73"/>
      <x:c r="D11" s="73"/>
    </x:row>
    <x:row r="12">
      <x:c r="A12" s="70" t="str">
        <x:v>Country</x:v>
      </x:c>
      <x:c r="B12" s="70" t="str">
        <x:v>Baseline</x:v>
      </x:c>
      <x:c r="C12" s="70" t="str">
        <x:v>Latest Available</x:v>
      </x:c>
      <x:c r="D12" s="70" t="str">
        <x:v>Indexed Change</x:v>
      </x:c>
    </x:row>
    <x:row r="13">
      <x:c r="A13" t="str">
        <x:v>China</x:v>
      </x:c>
      <x:c r="B13" t="str">
        <x:v>2019</x:v>
      </x:c>
      <x:c r="C13" t="str">
        <x:v>2025</x:v>
      </x:c>
      <x:c r="D13" s="16" t="n">
        <x:f>C8/100-1</x:f>
        <x:v>0.43885504559385513</x:v>
      </x:c>
    </x:row>
    <x:row r="14">
      <x:c r="A14" t="str">
        <x:v>Vietnam</x:v>
      </x:c>
      <x:c r="B14" t="str">
        <x:v>2019</x:v>
      </x:c>
      <x:c r="C14" t="str">
        <x:v>2023</x:v>
      </x:c>
      <x:c r="D14" s="16" t="n">
        <x:f>E6/100-1</x:f>
        <x:v>0.2333994631812346</x:v>
      </x:c>
    </x:row>
    <x:row r="15">
      <x:c r="A15" t="str">
        <x:v>India</x:v>
      </x:c>
      <x:c r="B15" t="str">
        <x:v>2019-20</x:v>
      </x:c>
      <x:c r="C15" t="str">
        <x:v>2023-24</x:v>
      </x:c>
      <x:c r="D15" s="16" t="n">
        <x:f>I6/100-1</x:f>
        <x:v>0.23497323908654155</x:v>
      </x:c>
    </x:row>
  </x:sheetData>
  <x:mergeCells>
    <x:mergeCell ref="A11:D11"/>
  </x:mergeCells>
  <x:pageMargins left="0.7" right="0.7" top="0.75" bottom="0.75" header="0.3" footer="0.3"/>
  <x:drawing xmlns:r="http://schemas.openxmlformats.org/officeDocument/2006/relationships" r:id="Rba120b2867f744ca"/>
</x:worksheet>
</file>

<file path=xl/worksheets/sheet12.xml><?xml version="1.0" encoding="utf-8"?>
<x:worksheet xmlns:x="http://schemas.openxmlformats.org/spreadsheetml/2006/main">
  <x:sheetFormatPr defaultRowHeight="15"/>
  <x:cols>
    <x:col min="1" max="1" width="20" hidden="0" customWidth="1"/>
    <x:col min="2" max="2" width="52" hidden="0" customWidth="1"/>
    <x:col min="3" max="3" width="48" hidden="0" customWidth="1"/>
    <x:col min="4" max="4" width="52" hidden="0" customWidth="1"/>
    <x:col min="5" max="5" width="48" hidden="0" customWidth="1"/>
    <x:col min="6" max="6" width="18" hidden="0" customWidth="1"/>
  </x:cols>
  <x:sheetData>
    <x:row r="1">
      <x:c r="A1" s="78" t="str">
        <x:v>Stage</x:v>
      </x:c>
      <x:c r="B1" s="78" t="str">
        <x:v>User Insight / Workaround</x:v>
      </x:c>
      <x:c r="C1" s="78" t="str">
        <x:v>Research Problem It Solved</x:v>
      </x:c>
      <x:c r="D1" s="78" t="str">
        <x:v>Methodological Decision</x:v>
      </x:c>
      <x:c r="E1" s="78" t="str">
        <x:v>Why It Strengthens the Study</x:v>
      </x:c>
      <x:c r="F1" s="78" t="str">
        <x:v>Status</x:v>
      </x:c>
    </x:row>
    <x:row r="2">
      <x:c r="A2" s="20" t="str">
        <x:v>Sample design</x:v>
      </x:c>
      <x:c r="B2" s="20" t="str">
        <x:v>Limit the main sample to the standard-priced 1:12 Marvel Legends single figure rather than mixing in Mega, deluxe, multipacks, vehicles, and other differently priced formats.</x:v>
      </x:c>
      <x:c r="C2" s="20" t="str">
        <x:v>Large format and price-class differences would confound production-cost relationships.</x:v>
      </x:c>
      <x:c r="D2" s="20" t="str">
        <x:v>Use the prevailing standard MSRP tier as the objective inclusion filter.</x:v>
      </x:c>
      <x:c r="E2" s="20" t="str">
        <x:v>Creates a much more comparable product class across 2019–2026.</x:v>
      </x:c>
      <x:c r="F2" s="20" t="str">
        <x:v>Locked</x:v>
      </x:c>
    </x:row>
    <x:row r="3">
      <x:c r="A3" s="20" t="str">
        <x:v>Retail filtering</x:v>
      </x:c>
      <x:c r="B3" s="20" t="str">
        <x:v>Exclude retailer exclusives because store-specific pricing can add a premium unrelated to production cost.</x:v>
      </x:c>
      <x:c r="C3" s="20" t="str">
        <x:v>Retailer agreements and exclusive pricing could be mistaken for production-cost effects.</x:v>
      </x:c>
      <x:c r="D3" s="20" t="str">
        <x:v>Retailer exclusives are excluded from the primary sample.</x:v>
      </x:c>
      <x:c r="E3" s="20" t="str">
        <x:v>Reduces pricing noise unrelated to manufacturing.</x:v>
      </x:c>
      <x:c r="F3" s="20" t="str">
        <x:v>Locked</x:v>
      </x:c>
    </x:row>
    <x:row r="4">
      <x:c r="A4" s="20" t="str">
        <x:v>Accessories</x:v>
      </x:c>
      <x:c r="B4" s="20" t="str">
        <x:v>Accessory count is inconsistent and often used to balance perceived value within a standardized wave rather than determine per-figure MSRP.</x:v>
      </x:c>
      <x:c r="C4" s="20" t="str">
        <x:v>Counting accessories as an independent predictor could imply a direct price relationship that often does not exist.</x:v>
      </x:c>
      <x:c r="D4" s="20" t="str">
        <x:v>Do not use accessory count as a standalone explanatory variable; treat accessory production cost as embedded in materials, tooling, deco, assembly, and packaging.</x:v>
      </x:c>
      <x:c r="E4" s="20" t="str">
        <x:v>Avoids double-counting and respects how wave pricing works in practice.</x:v>
      </x:c>
      <x:c r="F4" s="20" t="str">
        <x:v>Locked</x:v>
      </x:c>
    </x:row>
    <x:row r="5">
      <x:c r="A5" s="20" t="str">
        <x:v>Build-A-Figure waves</x:v>
      </x:c>
      <x:c r="B5" s="20" t="str">
        <x:v>BAF pieces can require substantial tooling, but the cost is spread across the wave; each individual figure is usually sold at the same standard MSRP.</x:v>
      </x:c>
      <x:c r="C5" s="20" t="str">
        <x:v>Assigning a BAF torso/leg/etc. to the carrier figure would create an artificial individual cost relationship.</x:v>
      </x:c>
      <x:c r="D5" s="20" t="str">
        <x:v>Include standard-priced BAF-wave figures, but do not allocate BAF tooling/material cost to individual carrier figures.</x:v>
      </x:c>
      <x:c r="E5" s="20" t="str">
        <x:v>Preserves normal retail observations without distorting figure-level cost attribution.</x:v>
      </x:c>
      <x:c r="F5" s="20" t="str">
        <x:v>Locked</x:v>
      </x:c>
    </x:row>
    <x:row r="6">
      <x:c r="A6" s="20" t="str">
        <x:v>Molds / tooling</x:v>
      </x:c>
      <x:c r="B6" s="20" t="str">
        <x:v>If Hasbro-specific mold invoices are unavailable, use the large body of external mold/tooling cost data to determine whether the tooling environment itself became more expensive.</x:v>
      </x:c>
      <x:c r="C6" s="20" t="str">
        <x:v>Manufacturer-specific tooling costs are proprietary.</x:v>
      </x:c>
      <x:c r="D6" s="20" t="str">
        <x:v>Use external die/tooling/mold indexes as industry cost-pressure proxies; never label them Hasbro's actual mold costs.</x:v>
      </x:c>
      <x:c r="E6" s="20" t="str">
        <x:v>Keeps tooling in the analysis without making unsupported claims.</x:v>
      </x:c>
      <x:c r="F6" s="20" t="str">
        <x:v>Locked</x:v>
      </x:c>
    </x:row>
    <x:row r="7">
      <x:c r="A7" s="20" t="str">
        <x:v>Packaging</x:v>
      </x:c>
      <x:c r="B7" s="20" t="str">
        <x:v>Hasbro's temporary windowless-box period may have changed packaging cost, but it was short and should only be used if it directly adds explanatory value.</x:v>
      </x:c>
      <x:c r="C7" s="20" t="str">
        <x:v>A short-lived design change could distract from the full 2019–2026 cost picture.</x:v>
      </x:c>
      <x:c r="D7" s="20" t="str">
        <x:v>Keep windowless packaging contextual unless direct cost evidence shows it materially matters.</x:v>
      </x:c>
      <x:c r="E7" s="20" t="str">
        <x:v>Prevents overfitting the paper to an interesting but potentially minor episode.</x:v>
      </x:c>
      <x:c r="F7" s="20" t="str">
        <x:v>Locked</x:v>
      </x:c>
    </x:row>
    <x:row r="8">
      <x:c r="A8" s="20" t="str">
        <x:v>Shipping / logistics</x:v>
      </x:c>
      <x:c r="B8" s="20" t="str">
        <x:v>Shipping should refer only to production/inbound movement of materials and finished goods into the retail channel, not delivery to the customer.</x:v>
      </x:c>
      <x:c r="C8" s="20" t="str">
        <x:v>Last-mile parcel shipping is not a production cost for the figure itself.</x:v>
      </x:c>
      <x:c r="D8" s="20" t="str">
        <x:v>Exclude consumer delivery; retain inbound freight, container, port, and supply-chain production logistics only.</x:v>
      </x:c>
      <x:c r="E8" s="20" t="str">
        <x:v>Keeps the logistics variable aligned with the research question.</x:v>
      </x:c>
      <x:c r="F8" s="20" t="str">
        <x:v>Locked</x:v>
      </x:c>
    </x:row>
    <x:row r="9">
      <x:c r="A9" s="20" t="str">
        <x:v>Labor scope</x:v>
      </x:c>
      <x:c r="B9" s="20" t="str">
        <x:v>Rather than reconstructing Hasbro's exact payroll, ask whether factory/manufacturing wages generally rose in the major toy-producing countries.</x:v>
      </x:c>
      <x:c r="C9" s="20" t="str">
        <x:v>Hasbro uses contract manufacturing and does not disclose factory-level wage bills.</x:v>
      </x:c>
      <x:c r="D9" s="20" t="str">
        <x:v>Use country-level manufacturing labor-pressure series for China, Vietnam, and India, normalized to their own baselines.</x:v>
      </x:c>
      <x:c r="E9" s="20" t="str">
        <x:v>Creates a defensible industry labor-pressure measure without pretending to know Hasbro's supplier payrolls.</x:v>
      </x:c>
      <x:c r="F9" s="20" t="str">
        <x:v>Locked</x:v>
      </x:c>
    </x:row>
    <x:row r="10">
      <x:c r="A10" s="20" t="str">
        <x:v>Labor weighting</x:v>
      </x:c>
      <x:c r="B10" s="20" t="str">
        <x:v>Do not equal-weight China, Vietnam, and India if Hasbro discloses actual geographic sourcing shares; use disclosed China/non-China exposure where available.</x:v>
      </x:c>
      <x:c r="C10" s="20" t="str">
        <x:v>A simple arithmetic average would silently assume equal production shares.</x:v>
      </x:c>
      <x:c r="D10" s="20" t="str">
        <x:v>Retain countries separately and use Hasbro sourcing weights only where explicitly documented; do not invent missing country weights.</x:v>
      </x:c>
      <x:c r="E10" s="20" t="str">
        <x:v>Moves the analysis closer to Hasbro's actual production exposure while preserving transparency.</x:v>
      </x:c>
      <x:c r="F10" s="20" t="str">
        <x:v>Open / developing</x:v>
      </x:c>
    </x:row>
    <x:row r="11">
      <x:c r="A11" s="20" t="str">
        <x:v>Second company</x:v>
      </x:c>
      <x:c r="B11" s="20" t="str">
        <x:v>Use a second major toy company as validation, but choose a genuinely comparable current collector line; for Mattel's 2026 MOTU comparison use Chronicles rather than Masterverse.</x:v>
      </x:c>
      <x:c r="C11" s="20" t="str">
        <x:v>The wrong comparison line could introduce scale/positioning differences unrelated to production cost.</x:v>
      </x:c>
      <x:c r="D11" s="20" t="str">
        <x:v>Keep Hasbro as the primary sample; use Mattel as external validation with line selection matched to the period and product class.</x:v>
      </x:c>
      <x:c r="E11" s="20" t="str">
        <x:v>Provides a robustness check across different manufacturing structures.</x:v>
      </x:c>
      <x:c r="F11" s="20" t="str">
        <x:v>Planned</x:v>
      </x:c>
    </x:row>
    <x:row r="12">
      <x:c r="A12" s="20" t="str">
        <x:v>Terminology</x:v>
      </x:c>
      <x:c r="B12" s="20" t="str">
        <x:v>Avoid the term 'premium format' in the Hasbro methodology because it is not the useful product-class language for Marvel Legends.</x:v>
      </x:c>
      <x:c r="C12" s="20" t="str">
        <x:v>Subjective terminology could make the inclusion rule less reproducible.</x:v>
      </x:c>
      <x:c r="D12" s="20" t="str">
        <x:v>Use objective price-tier and format exclusions instead.</x:v>
      </x:c>
      <x:c r="E12" s="20" t="str">
        <x:v>Improves precision and reproducibility.</x:v>
      </x:c>
      <x:c r="F12" s="20" t="str">
        <x:v>Locked</x:v>
      </x:c>
    </x:row>
    <x:row r="13">
      <x:c r="A13" s="20" t="str">
        <x:v>Research posture</x:v>
      </x:c>
      <x:c r="B13" s="20" t="str">
        <x:v>Treat the project as a neutral question about which production factors, if any, are most associated with 2026 retail prices rather than as an accusation about manufacturer motives.</x:v>
      </x:c>
      <x:c r="C13" s="20" t="str">
        <x:v>Starting from a presumed conclusion would bias variable selection and interpretation.</x:v>
      </x:c>
      <x:c r="D13" s="20" t="str">
        <x:v>Use association language and let the data determine whether production variables explain much, little, or none of the price movement.</x:v>
      </x:c>
      <x:c r="E13" s="20" t="str">
        <x:v>Protects the paper's empirical credibility.</x:v>
      </x:c>
      <x:c r="F13" s="20" t="str">
        <x:v>Locked</x:v>
      </x:c>
    </x:row>
    <x:row r="14">
      <x:c r="A14" s="20" t="str">
        <x:v>Hasbro accounting bridge</x:v>
      </x:c>
      <x:c r="B14" s="20" t="str">
        <x:v>Use Hasbro's own cost-of-sales composition to anchor how important labor, resin, freight, tooling and other inputs are, rather than estimating their shares from a residual.</x:v>
      </x:c>
      <x:c r="C14" s="20" t="str">
        <x:v>External input indexes show price pressure but do not reveal how large each input is inside Hasbro's production cost.</x:v>
      </x:c>
      <x:c r="D14" s="20" t="str">
        <x:v>Use direct Hasbro component shares where disclosed (2019–2022); leave later undisclosed component shares blank and use Consumer Products COGS only as supplemental context.</x:v>
      </x:c>
      <x:c r="E14" s="20" t="str">
        <x:v>Connects proxy-variable changes to a verified Hasbro accounting structure while avoiding fabricated later-year allocations.</x:v>
      </x:c>
      <x:c r="F14" s="20" t="str">
        <x:v>Locked</x:v>
      </x:c>
    </x:row>
    <x:row r="15">
      <x:c r="A15" s="20" t="str">
        <x:v>Industry expert triangulation</x:v>
      </x:c>
      <x:c r="B15" s="20" t="str">
        <x:v>Check Bobby Vala/Valaverse because he is a former Hasbro designer who now directly manages a competing 1:12 action-figure company's production and has publicly discussed manufacturing.</x:v>
      </x:c>
      <x:c r="C15" s="20" t="str">
        <x:v>Government indexes and Hasbro accounting identify cost pressure but do not describe all figure-level production mechanisms.</x:v>
      </x:c>
      <x:c r="D15" s="20" t="str">
        <x:v>Use only specific, first-hand Vala statements as qualitative context; do not use unverified forum claims or assign a labor percentage from expert commentary.</x:v>
      </x:c>
      <x:c r="E15" s="20" t="str">
        <x:v>Adds action-figure-specific manufacturing context without weakening the empirical core or substituting anecdote for measured data.</x:v>
      </x:c>
      <x:c r="F15" s="20" t="str">
        <x:v>Locked</x:v>
      </x:c>
    </x:row>
    <x:row r="16">
      <x:c r="A16" s="20" t="str">
        <x:v>Freight vs tariffs</x:v>
      </x:c>
      <x:c r="B16" s="20" t="str">
        <x:v>Treat ocean freight and tariffs as separate supply-side pressures rather than combining tariffs into shipping.</x:v>
      </x:c>
      <x:c r="C16" s="20" t="str">
        <x:v>Both raise landed cost, but one is a transportation price and the other is a policy-driven import duty.</x:v>
      </x:c>
      <x:c r="D16" s="20" t="str">
        <x:v>Use BLS deep-sea freight PPI as the core continuous freight proxy, Drewry transpacific spot rates as validation, and analyze tariffs separately.</x:v>
      </x:c>
      <x:c r="E16" s="20" t="str">
        <x:v>Prevents a policy shock from being misidentified as freight inflation and makes the supply-side model easier to interpret.</x:v>
      </x:c>
      <x:c r="F16" s="20" t="str">
        <x:v>Locked</x:v>
      </x:c>
    </x:row>
    <x:row r="17">
      <x:c r="A17" s="20" t="str">
        <x:v>Freight upstream driver</x:v>
      </x:c>
      <x:c r="B17" s="20" t="str">
        <x:v>The 2026 freight spike may be partly explained by the then-current high petroleum/bunker-fuel environment and shipping disruptions.</x:v>
      </x:c>
      <x:c r="C17" s="20" t="str">
        <x:v>A high freight reading could otherwise look like an unexplained anomaly or be misread as a separate independent shock.</x:v>
      </x:c>
      <x:c r="D17" s="20" t="str">
        <x:v>Treat petroleum/bunker fuel as an upstream driver of freight costs rather than automatically adding petroleum as another core freight-related explanatory variable.</x:v>
      </x:c>
      <x:c r="E17" s="20" t="str">
        <x:v>Avoids double-counting the same supply shock while documenting a plausible mechanism behind elevated freight costs.</x:v>
      </x:c>
      <x:c r="F17" s="20" t="str">
        <x:v>Locked</x:v>
      </x:c>
    </x:row>
    <x:row r="18">
      <x:c r="A18" s="20" t="str">
        <x:v>Tariff-rate vs realized-cost discipline</x:v>
      </x:c>
      <x:c r="B18" s="20" t="str">
        <x:v>Separate headline tariff rates from Hasbro's actual realized tariff expense and keep tariffs separate from freight.</x:v>
      </x:c>
      <x:c r="C18" s="20" t="str">
        <x:v>A 145% policy headline could badly overstate the average cost actually borne by Hasbro because exposure changes with sourcing, timing, contracts, exclusions and mitigation.</x:v>
      </x:c>
      <x:c r="D18" s="20" t="str">
        <x:v>Use the legal tariff timeline for timing and Hasbro's recognized tariff expense for magnitude; treat Marvel Legends price overlap as evidence of relevance, not proof of causation.</x:v>
      </x:c>
      <x:c r="E18" s="20" t="str">
        <x:v>Prevents a brief policy spike from being mechanically passed through into a product-line cost estimate and keeps the supply-side interpretation defensible.</x:v>
      </x:c>
      <x:c r="F18" s="20" t="str">
        <x:v>Locked</x:v>
      </x:c>
    </x:row>
    <x:row r="19">
      <x:c r="A19" s="20" t="str">
        <x:v>Demand measurement discipline</x:v>
      </x:c>
      <x:c r="B19" s="20" t="str">
        <x:v>Add demand evidence without turning the Hasbro production-cost paper into a full industry demand study.</x:v>
      </x:c>
      <x:c r="C19" s="20" t="str">
        <x:v>Retail dollar sales can rise because prices rose, so treating action-figure dollars as pure demand could make the model circular.</x:v>
      </x:c>
      <x:c r="D19" s="20" t="str">
        <x:v>Use monthly toy/hobby retail-sales YoY growth as a candidate broad demand control; use action-figure dollars, adult-collector trends, and Hasbro POS/share as descriptive validation.</x:v>
      </x:c>
      <x:c r="E19" s="20" t="str">
        <x:v>Keeps supply vs. demand explicit in the premise while avoiding a false line-specific demand estimate.</x:v>
      </x:c>
      <x:c r="F19" s="20" t="str">
        <x:v>Locked</x:v>
      </x:c>
    </x:row>
    <x:row r="20">
      <x:c r="A20" s="20" t="str">
        <x:v>Exchange-rate labor adjustment</x:v>
      </x:c>
      <x:c r="B20" s="20" t="str">
        <x:v>Check whether currency movement offsets or amplifies observed Chinese manufacturing-wage growth before treating the local percentage as U.S.-company cost pressure.</x:v>
      </x:c>
      <x:c r="C20" s="20" t="str">
        <x:v>A yuan wage increase does not mechanically equal the same percentage increase in U.S.-dollar manufacturing exposure.</x:v>
      </x:c>
      <x:c r="D20" s="20" t="str">
        <x:v>Keep local wage growth as the primary labor proxy and use annual-average USD/CNY conversion as a sensitivity check; do not call the converted figure Hasbro's actual labor increase.</x:v>
      </x:c>
      <x:c r="E20" s="20" t="str">
        <x:v>Separates genuine local wage inflation from the currency translation effect without introducing unsupported Hasbro contract assumptions.</x:v>
      </x:c>
      <x:c r="F20" s="20" t="str">
        <x:v>Locked</x:v>
      </x:c>
    </x:row>
    <x:row r="21">
      <x:c r="A21" s="20" t="str">
        <x:v>Labor uncertainty as methodology</x:v>
      </x:c>
      <x:c r="B21" s="20" t="str">
        <x:v>Preserve labor in the premise despite incomplete product-line data, but make the uncertainty visible rather than hiding it behind a single estimate.</x:v>
      </x:c>
      <x:c r="C21" s="20" t="str">
        <x:v>Dropping labor would omit an economically important production input; over-modeling it would create false precision.</x:v>
      </x:c>
      <x:c r="D21" s="20" t="str">
        <x:v>Use observed national manufacturing-wage changes plus Hasbro exposure/accounting anchors to construct a bounded sensitivity range; keep the constructed range out of the core monthly regression.</x:v>
      </x:c>
      <x:c r="E21" s="20" t="str">
        <x:v>Treats data limitations as an explicit research-design feature and preserves labor without overstating what can be known.</x:v>
      </x:c>
      <x:c r="F21" s="20" t="str">
        <x:v>Locked</x:v>
      </x:c>
    </x:row>
    <x:row r="22">
      <x:c r="A22" s="20" t="str">
        <x:v>Labor stopping rule</x:v>
      </x:c>
      <x:c r="B22" s="20" t="str">
        <x:v>Stop expanding the labor proxy stack once the best available primary data no longer reduce uncertainty without adding new assumptions.</x:v>
      </x:c>
      <x:c r="C22" s="20" t="str">
        <x:v>Repeatedly layering proxies can make an estimate look more precise while actually making it more assumption-dependent.</x:v>
      </x:c>
      <x:c r="D22" s="20" t="str">
        <x:v>Freeze the labor method after low/base/high sensitivity analysis unless new Hasbro/product-line evidence materially improves country weights, labor rates, or pass-through.</x:v>
      </x:c>
      <x:c r="E22" s="20" t="str">
        <x:v>Prevents a difficult variable from consuming the project and keeps the paper focused on stronger measured inputs.</x:v>
      </x:c>
      <x:c r="F22" s="20" t="str">
        <x:v>Locked</x:v>
      </x:c>
    </x:row>
    <x:row r="23">
      <x:c r="A23" s="20" t="str">
        <x:v>Packaging multicollinearity solution</x:v>
      </x:c>
      <x:c r="B23" s="20" t="str">
        <x:v>Ink, adhesives, paperboard and corrugated-carton cost indexes are all relevant but share an extremely strong long-run trend.</x:v>
      </x:c>
      <x:c r="C23" s="20" t="str">
        <x:v>Entering all four together would make coefficient estimates unstable and risk counting the same packaging inflation several times.</x:v>
      </x:c>
      <x:c r="D23" s="20" t="str">
        <x:v>Create an equal-weight packaging composite after normalizing each series to Jan 2019=100; use the composite in the core model and retain individual components for robustness/appendix checks.</x:v>
      </x:c>
      <x:c r="E23" s="20" t="str">
        <x:v>Preserves the information while reducing multicollinearity and avoids unsupported product-specific weighting.</x:v>
      </x:c>
      <x:c r="F23" s="20" t="str">
        <x:v>Locked</x:v>
      </x:c>
    </x:row>
    <x:row r="24">
      <x:c r="A24" s="20" t="str">
        <x:v>MSRP step-function treatment</x:v>
      </x:c>
      <x:c r="B24" s="20" t="str">
        <x:v>The monthly MSRP series has 92 observations but only four distinct levels and three upward transitions.</x:v>
      </x:c>
      <x:c r="C24" s="20" t="str">
        <x:v>A simple levels regression can look statistically impressive merely because both MSRP and many input-cost indexes trend upward over time.</x:v>
      </x:c>
      <x:c r="D24" s="20" t="str">
        <x:v>Use the monthly series for timing and lag analysis, but emphasize accumulated pre-transition cost pressure, transition-window comparisons, and robustness rather than treating every month as a new pricing decision.</x:v>
      </x:c>
      <x:c r="E24" s="20" t="str">
        <x:v>Keeps the statistical design aligned with the actual way Hasbro changes list prices.</x:v>
      </x:c>
      <x:c r="F24" s="20" t="str">
        <x:v>Locked</x:v>
      </x:c>
    </x:row>
    <x:row r="25">
      <x:c r="A25" s="20" t="str">
        <x:v>Broad plastics input instead of exact polymer bill</x:v>
      </x:c>
      <x:c r="B25" s="20" t="str">
        <x:v>Mass-production 'resin' means thermoplastic raw material, not merely prototype casting resin; exact Marvel Legends polymer weights and Hasbro procurement prices are not public.</x:v>
      </x:c>
      <x:c r="C25" s="20" t="str">
        <x:v>Splitting PVC/ABS/POM or guessing Hasbro's per-pound price would add assumptions without necessarily improving the research question.</x:v>
      </x:c>
      <x:c r="D25" s="20" t="str">
        <x:v>Retain WPU0662 as the core thermoplastic plastics/resin cost-pressure measure; assess its economic significance using historical Hasbro resin share as a sensitivity anchor.</x:v>
      </x:c>
      <x:c r="E25" s="20" t="str">
        <x:v>Captures the relevant market-cost movement while avoiding unnecessary SKU-level speculation.</x:v>
      </x:c>
      <x:c r="F25" s="20" t="str">
        <x:v>Locked</x:v>
      </x:c>
    </x:row>
    <x:row r="26">
      <x:c r="A26" s="20" t="str">
        <x:v>Correlation and lag diagnostics</x:v>
      </x:c>
      <x:c r="B26" s="20" t="str">
        <x:v>Test strong monthly variables before regression rather than throwing every collected series into one equation.</x:v>
      </x:c>
      <x:c r="C26" s="20" t="str">
        <x:v>High correlations among trending level series can produce misleadingly impressive results, especially with a stepwise MSRP.</x:v>
      </x:c>
      <x:c r="D26" s="20" t="str">
        <x:v>Compare level correlations, monthly-change correlations, VIFs and several economically plausible lags; treat all as diagnostics rather than causal proof.</x:v>
      </x:c>
      <x:c r="E26" s="20" t="str">
        <x:v>Reduces specification fishing and documents why variables/lags enter later models.</x:v>
      </x:c>
      <x:c r="F26" s="20" t="str">
        <x:v>Locked</x:v>
      </x:c>
    </x:row>
    <x:row r="27">
      <x:c r="A27" s="20" t="str">
        <x:v>Transition-window emphasis</x:v>
      </x:c>
      <x:c r="B27" s="20" t="str">
        <x:v>There are only three upward MSRP transitions, so accumulated cost pressure before those decisions deserves explicit analysis.</x:v>
      </x:c>
      <x:c r="C27" s="20" t="str">
        <x:v>A purely monthly regression can obscure the fact that Hasbro changes list prices discretely rather than continuously.</x:v>
      </x:c>
      <x:c r="D27" s="20" t="str">
        <x:v>Calculate 6- and 12-month input-cost changes before Jul-2021, Apr-2022 and Sep-2025 and use those alongside regression results.</x:v>
      </x:c>
      <x:c r="E27" s="20" t="str">
        <x:v>Aligns the empirical method with the actual pricing process while preserving the richer monthly cost data.</x:v>
      </x:c>
      <x:c r="F27" s="20" t="str">
        <x:v>Locked</x:v>
      </x:c>
    </x:row>
    <x:row r="28">
      <x:c r="A28" s="20" t="str">
        <x:v>Annual-change regression preference</x:v>
      </x:c>
      <x:c r="B28" s="20" t="str">
        <x:v>Raw monthly levels produce very high R² but are contaminated by common time trends and stepwise MSRP behavior.</x:v>
      </x:c>
      <x:c r="C28" s="20" t="str">
        <x:v>A high-fit levels model could falsely look like strong causal proof.</x:v>
      </x:c>
      <x:c r="D28" s="20" t="str">
        <x:v>Use 12-month percentage changes in MSRP and input costs for the primary exploratory regression, with HAC/Newey-West robust errors and transition-window evidence alongside it.</x:v>
      </x:c>
      <x:c r="E28" s="20" t="str">
        <x:v>Reduces shared-trend bias and severe multicollinearity while matching the paper's inflation/cost-pressure question more closely.</x:v>
      </x:c>
      <x:c r="F28" s="20" t="str">
        <x:v>Locked</x:v>
      </x:c>
    </x:row>
    <x:row r="29">
      <x:c r="A29" s="20" t="str">
        <x:v>No literal coefficient pass-through</x:v>
      </x:c>
      <x:c r="B29" s="20" t="str">
        <x:v>Regression coefficients quantify conditional statistical association in the chosen sample/specification.</x:v>
      </x:c>
      <x:c r="C29" s="20" t="str">
        <x:v>A coefficient such as 0.24 on freight does not mean Hasbro mechanically passed 24% of freight inflation into MSRP.</x:v>
      </x:c>
      <x:c r="D29" s="20" t="str">
        <x:v>Interpret sign, relative strength, robustness and timing; do not convert coefficients into unverified product-level accounting pass-through.</x:v>
      </x:c>
      <x:c r="E29" s="20" t="str">
        <x:v>Keeps statistical claims proportional to the available proxy data.</x:v>
      </x:c>
      <x:c r="F29" s="20" t="str">
        <x:v>Locked</x:v>
      </x:c>
    </x:row>
    <x:row r="30">
      <x:c r="A30" s="20" t="str">
        <x:v>Regression plus transition evidence</x:v>
      </x:c>
      <x:c r="B30" s="20" t="str">
        <x:v>Only three upward MSRP decisions exist, so regression cannot stand alone.</x:v>
      </x:c>
      <x:c r="C30" s="20" t="str">
        <x:v>Monthly/annual-change observations overlap and do not represent dozens of independent Hasbro pricing decisions.</x:v>
      </x:c>
      <x:c r="D30" s="20" t="str">
        <x:v>Treat regression as one layer of evidence and give equal or greater interpretive weight to 6/12-month pre-transition cost windows and Hasbro corporate statements.</x:v>
      </x:c>
      <x:c r="E30" s="20" t="str">
        <x:v>Combines statistical discipline with the actual discrete pricing process.</x:v>
      </x:c>
      <x:c r="F30" s="20" t="str">
        <x:v>Locked</x:v>
      </x:c>
    </x:row>
    <x:row r="31">
      <x:c r="A31" s="20" t="str">
        <x:v>No lag cherry-picking</x:v>
      </x:c>
      <x:c r="B31" s="20" t="str">
        <x:v>Earlier diagnostics suggested different variables may line up best at different lags.</x:v>
      </x:c>
      <x:c r="C31" s="20" t="str">
        <x:v>Choosing each variable's strongest lag after seeing the data would inflate apparent model performance and weaken credibility.</x:v>
      </x:c>
      <x:c r="D31" s="20" t="str">
        <x:v>Compare a pre-specified family of common 0/3/6/9/12-month lags; keep the 0-month annual-change model as baseline and label mixed timing as exploratory only.</x:v>
      </x:c>
      <x:c r="E31" s="20" t="str">
        <x:v>Separates legitimate timing robustness from specification fishing.</x:v>
      </x:c>
      <x:c r="F31" s="20" t="str">
        <x:v>Locked</x:v>
      </x:c>
    </x:row>
    <x:row r="32">
      <x:c r="A32" s="20" t="str">
        <x:v>Demand-control robustness</x:v>
      </x:c>
      <x:c r="B32" s="20" t="str">
        <x:v>The broad toy/hobby demand proxy is noisy and may not represent Marvel Legends demand well.</x:v>
      </x:c>
      <x:c r="C32" s="20" t="str">
        <x:v>A poor control could distort coefficients if it is required in every model.</x:v>
      </x:c>
      <x:c r="D32" s="20" t="str">
        <x:v>Run the preferred supply model both with and without the broad demand control; treat stable supply-side results as more credible.</x:v>
      </x:c>
      <x:c r="E32" s="20" t="str">
        <x:v>Checks that core supply findings are not artifacts of an imperfect demand proxy.</x:v>
      </x:c>
      <x:c r="F32" s="20" t="str">
        <x:v>Locked</x:v>
      </x:c>
    </x:row>
    <x:row r="33">
      <x:c r="A33" s="20" t="str">
        <x:v>Pre-2025 sample robustness</x:v>
      </x:c>
      <x:c r="B33" s="20" t="str">
        <x:v>The 2025–26 MSRP regime has a different cost/policy backdrop than 2021–22.</x:v>
      </x:c>
      <x:c r="C33" s="20" t="str">
        <x:v>Full-sample coefficients could be driven disproportionately by the newest pricing regime.</x:v>
      </x:c>
      <x:c r="D33" s="20" t="str">
        <x:v>Re-estimate the preferred model through Aug-2025 as a sample-sensitivity check and compare coefficient signs/magnitudes.</x:v>
      </x:c>
      <x:c r="E33" s="20" t="str">
        <x:v>Shows whether core findings existed before the final $27.99 regime.</x:v>
      </x:c>
      <x:c r="F33" s="20" t="str">
        <x:v>Locked</x:v>
      </x:c>
    </x:row>
    <x:row r="34">
      <x:c r="A34" s="20" t="str">
        <x:v>Different timing horizons by cost category</x:v>
      </x:c>
      <x:c r="B34" s="20" t="str">
        <x:v>Common-lag robustness checks show freight/tooling are strongest at current or short lags, while resin becomes stronger when allowed to lead MSRP by several months.</x:v>
      </x:c>
      <x:c r="C34" s="20" t="str">
        <x:v>Forcing every production input to share one assumed delay can hide economically plausible differences in contracting, inventory, production planning and price-setting timing.</x:v>
      </x:c>
      <x:c r="D34" s="20" t="str">
        <x:v>Keep the 0-month annual-change model as the formal baseline; discuss the divergent lag patterns as supporting timing evidence without selecting separate 'best' lags for the headline model.</x:v>
      </x:c>
      <x:c r="E34" s="20" t="str">
        <x:v>Preserves a disciplined baseline while acknowledging that materials, tooling and freight need not affect pricing on identical schedules.</x:v>
      </x:c>
      <x:c r="F34" s="20" t="str">
        <x:v>Locked</x:v>
      </x:c>
    </x:row>
    <x:row r="35">
      <x:c r="A35" s="20" t="str">
        <x:v>Synthesis by price transition</x:v>
      </x:c>
      <x:c r="B35" s="20" t="str">
        <x:v>The three MSRP increases occur under materially different cost conditions.</x:v>
      </x:c>
      <x:c r="C35" s="20" t="str">
        <x:v>A single pooled coefficient can hide the fact that the economic backdrop changed across pricing events.</x:v>
      </x:c>
      <x:c r="D35" s="20" t="str">
        <x:v>Organize the main results around the 2021, 2022, and 2025 price transitions, then use regression as supporting evidence rather than the entire story.</x:v>
      </x:c>
      <x:c r="E35" s="20" t="str">
        <x:v>Matches the discrete way MSRP actually changed and makes the paper easier to understand.</x:v>
      </x:c>
      <x:c r="F35" s="20" t="str">
        <x:v>Locked</x:v>
      </x:c>
    </x:row>
    <x:row r="36">
      <x:c r="A36" s="20" t="str">
        <x:v>Reader-first decision appendix</x:v>
      </x:c>
      <x:c r="B36" s="20" t="str">
        <x:v>Many important modeling choices need explanation, but long methodological prose would interrupt the paper.</x:v>
      </x:c>
      <x:c r="C36" s="20" t="str">
        <x:v>The user wants the paper academically sound but accessible to non-specialist readers.</x:v>
      </x:c>
      <x:c r="D36" s="20" t="str">
        <x:v>Use a short decision appendix with plain-English reasons for major choices; keep jargon and technical detail only where it changes interpretation.</x:v>
      </x:c>
      <x:c r="E36" s="20" t="str">
        <x:v>Preserves rigor without turning the paper into gatekeeper-academic prose.</x:v>
      </x:c>
      <x:c r="F36" s="20" t="str">
        <x:v>Locked</x:v>
      </x:c>
    </x:row>
  </x:sheetData>
  <x:pageMargins left="0.7" right="0.7" top="0.75" bottom="0.75" header="0.3" footer="0.3"/>
  <x:tableParts count="1">
    <x:tablePart xmlns:r="http://schemas.openxmlformats.org/officeDocument/2006/relationships" r:id="Rce6d5b3f52844da0"/>
  </x:tableParts>
</x:worksheet>
</file>

<file path=xl/worksheets/sheet13.xml><?xml version="1.0" encoding="utf-8"?>
<x:worksheet xmlns:x="http://schemas.openxmlformats.org/spreadsheetml/2006/main">
  <x:sheetFormatPr defaultRowHeight="15"/>
  <x:cols>
    <x:col min="1" max="1" width="30" hidden="0" customWidth="1"/>
    <x:col min="2" max="2" width="18" hidden="0" customWidth="1"/>
    <x:col min="3" max="3" width="44" hidden="0" customWidth="1"/>
    <x:col min="4" max="4" width="44" hidden="0" customWidth="1"/>
    <x:col min="5" max="5" width="16" hidden="0" customWidth="1"/>
    <x:col min="6" max="6" width="16" hidden="0" customWidth="1"/>
    <x:col min="7" max="7" width="18" hidden="0" customWidth="1"/>
    <x:col min="8" max="8" width="52"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44" hidden="0" customWidth="1"/>
    <x:col min="20" max="20" width="52" hidden="0" customWidth="1"/>
  </x:cols>
  <x:sheetData>
    <x:row r="1">
      <x:c r="A1" s="84" t="str">
        <x:v>Hasbro Cost of Sales History and Production-Cost Composition</x:v>
      </x:c>
      <x:c r="B1" s="84"/>
      <x:c r="C1" s="84"/>
      <x:c r="D1" s="84"/>
      <x:c r="E1" s="84"/>
      <x:c r="F1" s="84"/>
      <x:c r="G1" s="84"/>
      <x:c r="H1" s="84"/>
      <x:c r="I1" s="84"/>
      <x:c r="J1" s="84"/>
      <x:c r="K1" s="84"/>
      <x:c r="L1" s="84"/>
      <x:c r="M1" s="84"/>
      <x:c r="N1" s="84"/>
      <x:c r="O1" s="84"/>
      <x:c r="P1" s="84"/>
      <x:c r="Q1" s="84"/>
      <x:c r="R1" s="84"/>
      <x:c r="S1" s="84"/>
      <x:c r="T1" s="84"/>
    </x:row>
    <x:row r="2">
      <x:c r="A2" s="86" t="str">
        <x:v>Percentages in component columns are Hasbro-reported shares of total company revenue. Detailed component disclosure was located for 2019–2022; 2023–2025 public filings provide aggregate cost of sales but not the same component table. Undisclosed later-year components are intentionally left blank rather than estimated.</x:v>
      </x:c>
      <x:c r="B2" s="86"/>
      <x:c r="C2" s="86"/>
      <x:c r="D2" s="86"/>
      <x:c r="E2" s="86"/>
      <x:c r="F2" s="86"/>
      <x:c r="G2" s="86"/>
      <x:c r="H2" s="86"/>
      <x:c r="I2" s="86"/>
      <x:c r="J2" s="86"/>
      <x:c r="K2" s="86"/>
      <x:c r="L2" s="86"/>
      <x:c r="M2" s="86"/>
      <x:c r="N2" s="86"/>
      <x:c r="O2" s="86"/>
      <x:c r="P2" s="86"/>
      <x:c r="Q2" s="86"/>
      <x:c r="R2" s="86"/>
      <x:c r="S2" s="86"/>
      <x:c r="T2" s="86"/>
    </x:row>
    <x:row r="4">
      <x:c r="A4" s="91" t="str">
        <x:v>Year</x:v>
      </x:c>
      <x:c r="B4" s="91" t="str">
        <x:v>Net Revenue ($m)</x:v>
      </x:c>
      <x:c r="C4" s="91" t="str">
        <x:v>Cost of Sales ($m)</x:v>
      </x:c>
      <x:c r="D4" s="91" t="str">
        <x:v>COGS % Revenue</x:v>
      </x:c>
      <x:c r="E4" s="91" t="str">
        <x:v>Derived Gross Margin</x:v>
      </x:c>
      <x:c r="F4" s="91" t="str">
        <x:v>Board/Paper/Print % Rev</x:v>
      </x:c>
      <x:c r="G4" s="91" t="str">
        <x:v>Resins % Rev</x:v>
      </x:c>
      <x:c r="H4" s="91" t="str">
        <x:v>Electronics/Metals % Rev</x:v>
      </x:c>
      <x:c r="I4" s="91" t="str">
        <x:v>All Other % Rev</x:v>
      </x:c>
      <x:c r="J4" s="91" t="str">
        <x:v>Labor % Rev</x:v>
      </x:c>
      <x:c r="K4" s="91" t="str">
        <x:v>Factory Overhead % Rev</x:v>
      </x:c>
      <x:c r="L4" s="91" t="str">
        <x:v>Freight/Import % Rev</x:v>
      </x:c>
      <x:c r="M4" s="91" t="str">
        <x:v>Tooling % Rev</x:v>
      </x:c>
      <x:c r="N4" s="91" t="str">
        <x:v>Inventory Variances % Rev</x:v>
      </x:c>
      <x:c r="O4" s="91" t="str">
        <x:v>Labor % of COGS</x:v>
      </x:c>
      <x:c r="P4" s="91" t="str">
        <x:v>Resins % of COGS</x:v>
      </x:c>
      <x:c r="Q4" s="91" t="str">
        <x:v>Freight % of COGS</x:v>
      </x:c>
      <x:c r="R4" s="91" t="str">
        <x:v>Tooling % of COGS</x:v>
      </x:c>
      <x:c r="S4" s="91" t="str">
        <x:v>Disclosure Detail</x:v>
      </x:c>
      <x:c r="T4" s="91" t="str">
        <x:v>Source URL</x:v>
      </x:c>
    </x:row>
    <x:row r="5">
      <x:c r="A5" s="20" t="n">
        <x:v>2019</x:v>
      </x:c>
      <x:c r="B5" s="93" t="n">
        <x:v>4720.227</x:v>
      </x:c>
      <x:c r="C5" s="93" t="n">
        <x:v>1807.849</x:v>
      </x:c>
      <x:c r="D5" s="23" t="n">
        <x:v>0.383</x:v>
      </x:c>
      <x:c r="E5" s="23" t="n">
        <x:f>1-D5</x:f>
        <x:v>0.617</x:v>
      </x:c>
      <x:c r="F5" s="23" t="n">
        <x:v>0.068</x:v>
      </x:c>
      <x:c r="G5" s="23" t="n">
        <x:v>0.051</x:v>
      </x:c>
      <x:c r="H5" s="23" t="n">
        <x:v>0.019</x:v>
      </x:c>
      <x:c r="I5" s="23" t="n">
        <x:v>0.028</x:v>
      </x:c>
      <x:c r="J5" s="23" t="n">
        <x:v>0.081</x:v>
      </x:c>
      <x:c r="K5" s="23" t="n">
        <x:v>0.068</x:v>
      </x:c>
      <x:c r="L5" s="23" t="n">
        <x:v>0.026</x:v>
      </x:c>
      <x:c r="M5" s="23" t="n">
        <x:v>0.018</x:v>
      </x:c>
      <x:c r="N5" s="23" t="n">
        <x:v>0.024</x:v>
      </x:c>
      <x:c r="O5" s="23" t="n">
        <x:f>IF(J5="","",J5/D5)</x:f>
        <x:v>0.21148825065274152</x:v>
      </x:c>
      <x:c r="P5" s="23" t="n">
        <x:f>IF(G5="","",G5/D5)</x:f>
        <x:v>0.13315926892950392</x:v>
      </x:c>
      <x:c r="Q5" s="23" t="n">
        <x:f>IF(L5="","",L5/D5)</x:f>
        <x:v>0.06788511749347258</x:v>
      </x:c>
      <x:c r="R5" s="23" t="n">
        <x:f>IF(M5="","",M5/D5)</x:f>
        <x:v>0.04699738903394256</x:v>
      </x:c>
      <x:c r="S5" s="20" t="str">
        <x:v>Detailed Hasbro cost-of-sales component table</x:v>
      </x:c>
      <x:c r="T5" s="20" t="str">
        <x:v>https://investor.hasbro.com/static-files/8898ff21-1faa-4e55-811c-48bf39d593b5</x:v>
      </x:c>
    </x:row>
    <x:row r="6">
      <x:c r="A6" s="20" t="n">
        <x:v>2020</x:v>
      </x:c>
      <x:c r="B6" s="93" t="n">
        <x:v>5465.443</x:v>
      </x:c>
      <x:c r="C6" s="93" t="n">
        <x:v>1718.888</x:v>
      </x:c>
      <x:c r="D6" s="23" t="n">
        <x:v>0.315</x:v>
      </x:c>
      <x:c r="E6" s="23" t="n">
        <x:f>1-D6</x:f>
        <x:v>0.685</x:v>
      </x:c>
      <x:c r="F6" s="23" t="n">
        <x:v>0.067</x:v>
      </x:c>
      <x:c r="G6" s="23" t="n">
        <x:v>0.039</x:v>
      </x:c>
      <x:c r="H6" s="23" t="n">
        <x:v>0.016</x:v>
      </x:c>
      <x:c r="I6" s="23" t="n">
        <x:v>0.023</x:v>
      </x:c>
      <x:c r="J6" s="23" t="n">
        <x:v>0.062</x:v>
      </x:c>
      <x:c r="K6" s="23" t="n">
        <x:v>0.05</x:v>
      </x:c>
      <x:c r="L6" s="23" t="n">
        <x:v>0.023</x:v>
      </x:c>
      <x:c r="M6" s="23" t="n">
        <x:v>0.013</x:v>
      </x:c>
      <x:c r="N6" s="23" t="n">
        <x:v>0.022</x:v>
      </x:c>
      <x:c r="O6" s="23" t="n">
        <x:f>IF(J6="","",J6/D6)</x:f>
        <x:v>0.19682539682539682</x:v>
      </x:c>
      <x:c r="P6" s="23" t="n">
        <x:f>IF(G6="","",G6/D6)</x:f>
        <x:v>0.12380952380952381</x:v>
      </x:c>
      <x:c r="Q6" s="23" t="n">
        <x:f>IF(L6="","",L6/D6)</x:f>
        <x:v>0.07301587301587302</x:v>
      </x:c>
      <x:c r="R6" s="23" t="n">
        <x:f>IF(M6="","",M6/D6)</x:f>
        <x:v>0.04126984126984127</x:v>
      </x:c>
      <x:c r="S6" s="20" t="str">
        <x:v>Detailed Hasbro cost-of-sales component table</x:v>
      </x:c>
      <x:c r="T6" s="20" t="str">
        <x:v>https://investor.hasbro.com/static-files/1bf09f2e-5078-4a6b-8428-799816e512f3</x:v>
      </x:c>
    </x:row>
    <x:row r="7">
      <x:c r="A7" s="20" t="n">
        <x:v>2021</x:v>
      </x:c>
      <x:c r="B7" s="93" t="n">
        <x:v>6420.4</x:v>
      </x:c>
      <x:c r="C7" s="93" t="n">
        <x:v>1927.5</x:v>
      </x:c>
      <x:c r="D7" s="23" t="n">
        <x:v>0.3</x:v>
      </x:c>
      <x:c r="E7" s="23" t="n">
        <x:f>1-D7</x:f>
        <x:v>0.7</x:v>
      </x:c>
      <x:c r="F7" s="23" t="n">
        <x:v>0.076</x:v>
      </x:c>
      <x:c r="G7" s="23" t="n">
        <x:v>0.047</x:v>
      </x:c>
      <x:c r="H7" s="23" t="n">
        <x:v>0.012</x:v>
      </x:c>
      <x:c r="I7" s="23" t="n">
        <x:v>0.007</x:v>
      </x:c>
      <x:c r="J7" s="23" t="n">
        <x:v>0.059</x:v>
      </x:c>
      <x:c r="K7" s="23" t="n">
        <x:v>0.041</x:v>
      </x:c>
      <x:c r="L7" s="23" t="n">
        <x:v>0.035</x:v>
      </x:c>
      <x:c r="M7" s="23" t="n">
        <x:v>0.012</x:v>
      </x:c>
      <x:c r="N7" s="23" t="n">
        <x:v>0.011</x:v>
      </x:c>
      <x:c r="O7" s="23" t="n">
        <x:f>IF(J7="","",J7/D7)</x:f>
        <x:v>0.19666666666666666</x:v>
      </x:c>
      <x:c r="P7" s="23" t="n">
        <x:f>IF(G7="","",G7/D7)</x:f>
        <x:v>0.15666666666666668</x:v>
      </x:c>
      <x:c r="Q7" s="23" t="n">
        <x:f>IF(L7="","",L7/D7)</x:f>
        <x:v>0.11666666666666668</x:v>
      </x:c>
      <x:c r="R7" s="23" t="n">
        <x:f>IF(M7="","",M7/D7)</x:f>
        <x:v>0.04</x:v>
      </x:c>
      <x:c r="S7" s="20" t="str">
        <x:v>Detailed Hasbro cost-of-sales component table</x:v>
      </x:c>
      <x:c r="T7" s="20" t="str">
        <x:v>https://investor.hasbro.com/static-files/ab698130-0aa9-4715-b050-b42a4dc80d86</x:v>
      </x:c>
    </x:row>
    <x:row r="8">
      <x:c r="A8" s="20" t="n">
        <x:v>2022</x:v>
      </x:c>
      <x:c r="B8" s="93" t="n">
        <x:v>5856.7</x:v>
      </x:c>
      <x:c r="C8" s="93" t="n">
        <x:v>1911.8</x:v>
      </x:c>
      <x:c r="D8" s="23" t="n">
        <x:v>0.326</x:v>
      </x:c>
      <x:c r="E8" s="23" t="n">
        <x:f>1-D8</x:f>
        <x:v>0.6739999999999999</x:v>
      </x:c>
      <x:c r="F8" s="23" t="n">
        <x:v>0.053</x:v>
      </x:c>
      <x:c r="G8" s="23" t="n">
        <x:v>0.051</x:v>
      </x:c>
      <x:c r="H8" s="23" t="n">
        <x:v>0.018</x:v>
      </x:c>
      <x:c r="I8" s="23" t="n">
        <x:v>0.021</x:v>
      </x:c>
      <x:c r="J8" s="23" t="n">
        <x:v>0.056</x:v>
      </x:c>
      <x:c r="K8" s="23" t="n">
        <x:v>0.048</x:v>
      </x:c>
      <x:c r="L8" s="23" t="n">
        <x:v>0.041</x:v>
      </x:c>
      <x:c r="M8" s="23" t="n">
        <x:v>0.013</x:v>
      </x:c>
      <x:c r="N8" s="23" t="n">
        <x:v>0.025</x:v>
      </x:c>
      <x:c r="O8" s="23" t="n">
        <x:f>IF(J8="","",J8/D8)</x:f>
        <x:v>0.17177914110429449</x:v>
      </x:c>
      <x:c r="P8" s="23" t="n">
        <x:f>IF(G8="","",G8/D8)</x:f>
        <x:v>0.15644171779141103</x:v>
      </x:c>
      <x:c r="Q8" s="23" t="n">
        <x:f>IF(L8="","",L8/D8)</x:f>
        <x:v>0.12576687116564417</x:v>
      </x:c>
      <x:c r="R8" s="23" t="n">
        <x:f>IF(M8="","",M8/D8)</x:f>
        <x:v>0.03987730061349693</x:v>
      </x:c>
      <x:c r="S8" s="20" t="str">
        <x:v>Detailed Hasbro cost-of-sales component table</x:v>
      </x:c>
      <x:c r="T8" s="20" t="str">
        <x:v>https://investor.hasbro.com/static-files/4e470766-a944-46ad-b317-d20a66a44d94</x:v>
      </x:c>
    </x:row>
    <x:row r="9">
      <x:c r="A9" s="20" t="n">
        <x:v>2023</x:v>
      </x:c>
      <x:c r="B9" s="93" t="n">
        <x:v>5003.3</x:v>
      </x:c>
      <x:c r="C9" s="93" t="n">
        <x:v>1706</x:v>
      </x:c>
      <x:c r="D9" s="23" t="n">
        <x:v>0.341</x:v>
      </x:c>
      <x:c r="E9" s="23" t="n">
        <x:f>1-D9</x:f>
        <x:v>0.659</x:v>
      </x:c>
      <x:c r="F9" s="23"/>
      <x:c r="G9" s="23"/>
      <x:c r="H9" s="23"/>
      <x:c r="I9" s="23"/>
      <x:c r="J9" s="23"/>
      <x:c r="K9" s="23"/>
      <x:c r="L9" s="23"/>
      <x:c r="M9" s="23"/>
      <x:c r="N9" s="23"/>
      <x:c r="O9" s="23" t="str">
        <x:f>IF(J9="","",J9/D9)</x:f>
      </x:c>
      <x:c r="P9" s="23" t="str">
        <x:f>IF(G9="","",G9/D9)</x:f>
      </x:c>
      <x:c r="Q9" s="23" t="str">
        <x:f>IF(L9="","",L9/D9)</x:f>
      </x:c>
      <x:c r="R9" s="23" t="str">
        <x:f>IF(M9="","",M9/D9)</x:f>
      </x:c>
      <x:c r="S9" s="20" t="str">
        <x:v>Aggregate COGS only; same component table not located in public materials reviewed</x:v>
      </x:c>
      <x:c r="T9" s="20" t="str">
        <x:v>https://investor.hasbro.com/static-files/f5824da9-0c4e-4e30-8cfe-f0b23f793c38</x:v>
      </x:c>
    </x:row>
    <x:row r="10">
      <x:c r="A10" s="20" t="n">
        <x:v>2024</x:v>
      </x:c>
      <x:c r="B10" s="93" t="n">
        <x:v>4135.5</x:v>
      </x:c>
      <x:c r="C10" s="93" t="n">
        <x:v>1179.5</x:v>
      </x:c>
      <x:c r="D10" s="23" t="n">
        <x:v>0.285</x:v>
      </x:c>
      <x:c r="E10" s="23" t="n">
        <x:f>1-D10</x:f>
        <x:v>0.7150000000000001</x:v>
      </x:c>
      <x:c r="F10" s="23"/>
      <x:c r="G10" s="23"/>
      <x:c r="H10" s="23"/>
      <x:c r="I10" s="23"/>
      <x:c r="J10" s="23"/>
      <x:c r="K10" s="23"/>
      <x:c r="L10" s="23"/>
      <x:c r="M10" s="23"/>
      <x:c r="N10" s="23"/>
      <x:c r="O10" s="23" t="str">
        <x:f>IF(J10="","",J10/D10)</x:f>
      </x:c>
      <x:c r="P10" s="23" t="str">
        <x:f>IF(G10="","",G10/D10)</x:f>
      </x:c>
      <x:c r="Q10" s="23" t="str">
        <x:f>IF(L10="","",L10/D10)</x:f>
      </x:c>
      <x:c r="R10" s="23" t="str">
        <x:f>IF(M10="","",M10/D10)</x:f>
      </x:c>
      <x:c r="S10" s="20" t="str">
        <x:v>Aggregate COGS only; same component table not located in public materials reviewed</x:v>
      </x:c>
      <x:c r="T10" s="20" t="str">
        <x:v>https://investor.hasbro.com/static-files/f5824da9-0c4e-4e30-8cfe-f0b23f793c38</x:v>
      </x:c>
    </x:row>
    <x:row r="11">
      <x:c r="A11" s="20" t="n">
        <x:v>2025</x:v>
      </x:c>
      <x:c r="B11" s="93" t="n">
        <x:v>4701.3</x:v>
      </x:c>
      <x:c r="C11" s="93" t="n">
        <x:v>1296.2</x:v>
      </x:c>
      <x:c r="D11" s="23" t="n">
        <x:v>0.276</x:v>
      </x:c>
      <x:c r="E11" s="23" t="n">
        <x:f>1-D11</x:f>
        <x:v>0.724</x:v>
      </x:c>
      <x:c r="F11" s="23"/>
      <x:c r="G11" s="23"/>
      <x:c r="H11" s="23"/>
      <x:c r="I11" s="23"/>
      <x:c r="J11" s="23"/>
      <x:c r="K11" s="23"/>
      <x:c r="L11" s="23"/>
      <x:c r="M11" s="23"/>
      <x:c r="N11" s="23"/>
      <x:c r="O11" s="23" t="str">
        <x:f>IF(J11="","",J11/D11)</x:f>
      </x:c>
      <x:c r="P11" s="23" t="str">
        <x:f>IF(G11="","",G11/D11)</x:f>
      </x:c>
      <x:c r="Q11" s="23" t="str">
        <x:f>IF(L11="","",L11/D11)</x:f>
      </x:c>
      <x:c r="R11" s="23" t="str">
        <x:f>IF(M11="","",M11/D11)</x:f>
      </x:c>
      <x:c r="S11" s="20" t="str">
        <x:v>Aggregate COGS only; same component table not located in public materials reviewed</x:v>
      </x:c>
      <x:c r="T11" s="20" t="str">
        <x:v>https://investor.hasbro.com/static-files/f5824da9-0c4e-4e30-8cfe-f0b23f793c38</x:v>
      </x:c>
    </x:row>
    <x:row r="13">
      <x:c r="A13" s="96" t="str">
        <x:v>Key Metric</x:v>
      </x:c>
      <x:c r="B13" s="96" t="str">
        <x:v>Value</x:v>
      </x:c>
      <x:c r="C13" s="96" t="str">
        <x:v>Interpretation</x:v>
      </x:c>
      <x:c r="D13" s="96" t="str">
        <x:v>Method Note</x:v>
      </x:c>
    </x:row>
    <x:row r="14">
      <x:c r="A14" s="20" t="str">
        <x:v>Average labor share of COGS, 2019–2022</x:v>
      </x:c>
      <x:c r="B14" s="23" t="n">
        <x:f>AVERAGE(O5:O8)</x:f>
        <x:v>0.19418986381227488</x:v>
      </x:c>
      <x:c r="C14" s="20" t="str">
        <x:v>Historical anchor for estimating how wage pressure could affect Hasbro production cost.</x:v>
      </x:c>
      <x:c r="D14" s="20" t="str">
        <x:v>Average of Hasbro-reported annual labor % of revenue divided by COGS % of revenue.</x:v>
      </x:c>
    </x:row>
    <x:row r="15">
      <x:c r="A15" s="20" t="str">
        <x:v>Median labor share of COGS, 2019–2022</x:v>
      </x:c>
      <x:c r="B15" s="23" t="n">
        <x:f>MEDIAN(O5:O8)</x:f>
        <x:v>0.19674603174603172</x:v>
      </x:c>
      <x:c r="C15" s="20" t="str">
        <x:v>Useful central estimate less sensitive to an endpoint.</x:v>
      </x:c>
      <x:c r="D15" s="20" t="str">
        <x:v>Median of the four disclosed annual labor shares.</x:v>
      </x:c>
    </x:row>
    <x:row r="16">
      <x:c r="A16" s="20" t="str">
        <x:v>Labor share range, 2019–2022</x:v>
      </x:c>
      <x:c r="B16" s="20" t="str">
        <x:f>TEXT(MIN(O5:O8),"0.0%")&amp;" to "&amp;TEXT(MAX(O5:O8),"0.0%")</x:f>
        <x:v>17.2% to 21.1%</x:v>
      </x:c>
      <x:c r="C16" s="20" t="str">
        <x:v>Shows uncertainty band rather than a single assumed labor weight.</x:v>
      </x:c>
      <x:c r="D16" s="20" t="str">
        <x:v>Min–max of disclosed annual shares.</x:v>
      </x:c>
    </x:row>
    <x:row r="17">
      <x:c r="A17" s="20" t="str">
        <x:v>Freight share of COGS, 2019 → 2022</x:v>
      </x:c>
      <x:c r="B17" s="20" t="str">
        <x:f>TEXT(Q5,"0.0%")&amp;" to "&amp;TEXT(Q8,"0.0%")</x:f>
        <x:v>6.8% to 12.6%</x:v>
      </x:c>
      <x:c r="C17" s="20" t="str">
        <x:v>Freight/import costs became materially more important during the pandemic-era supply shock.</x:v>
      </x:c>
      <x:c r="D17" s="20" t="str">
        <x:v>Hasbro-reported freight/import % revenue divided by COGS % revenue.</x:v>
      </x:c>
    </x:row>
    <x:row r="18">
      <x:c r="A18" s="20" t="str">
        <x:v>Tooling share of COGS, 2019 → 2022</x:v>
      </x:c>
      <x:c r="B18" s="20" t="str">
        <x:f>TEXT(R5,"0.0%")&amp;" to "&amp;TEXT(R8,"0.0%")</x:f>
        <x:v>4.7% to 4.0%</x:v>
      </x:c>
      <x:c r="C18" s="20" t="str">
        <x:v>Tooling stayed relatively stable as a fraction of COGS after 2020.</x:v>
      </x:c>
      <x:c r="D18" s="20" t="str">
        <x:v>Hasbro-reported tooling % revenue divided by COGS % revenue.</x:v>
      </x:c>
    </x:row>
    <x:row r="19">
      <x:c r="A19" s="20" t="str">
        <x:v>Consolidated COGS % revenue, 2019 → 2025</x:v>
      </x:c>
      <x:c r="B19" s="20" t="str">
        <x:f>TEXT(D5,"0.0%")&amp;" to "&amp;TEXT(D11,"0.0%")</x:f>
        <x:v>38.3% to 27.6%</x:v>
      </x:c>
      <x:c r="C19" s="20" t="str">
        <x:v>Company-wide COGS share fell over the period; interpret cautiously because Hasbro's business mix changed.</x:v>
      </x:c>
      <x:c r="D19" s="20" t="str">
        <x:v>Aggregate company cost of sales divided by net revenue.</x:v>
      </x:c>
    </x:row>
    <x:row r="22">
      <x:c r="A22" s="99" t="str">
        <x:v>Consumer Products Segment — Supplemental Toy-Business Context (2023–2025)</x:v>
      </x:c>
      <x:c r="B22" s="99"/>
      <x:c r="C22" s="99"/>
      <x:c r="D22" s="99"/>
      <x:c r="E22" s="99"/>
      <x:c r="F22" s="99"/>
      <x:c r="G22" s="99"/>
      <x:c r="H22" s="99"/>
    </x:row>
    <x:row r="23">
      <x:c r="A23" s="102" t="str">
        <x:v>Year</x:v>
      </x:c>
      <x:c r="B23" s="102" t="str">
        <x:v>Consumer Products Net Revenue ($m)</x:v>
      </x:c>
      <x:c r="C23" s="102" t="str">
        <x:v>Consumer Products COGS ($m)</x:v>
      </x:c>
      <x:c r="D23" s="102" t="str">
        <x:v>COGS % Segment Net Revenue</x:v>
      </x:c>
      <x:c r="E23" s="102" t="str">
        <x:v>Distribution Expense ($m)</x:v>
      </x:c>
      <x:c r="F23" s="102" t="str">
        <x:v>Distribution % Segment Net Revenue</x:v>
      </x:c>
      <x:c r="G23" s="102" t="str">
        <x:v>Scope Note</x:v>
      </x:c>
      <x:c r="H23" s="102" t="str">
        <x:v>Source URL</x:v>
      </x:c>
    </x:row>
    <x:row r="24">
      <x:c r="A24" s="20" t="n">
        <x:v>2023</x:v>
      </x:c>
      <x:c r="B24" s="93" t="n">
        <x:v>2886.4</x:v>
      </x:c>
      <x:c r="C24" s="93" t="n">
        <x:v>1371</x:v>
      </x:c>
      <x:c r="D24" s="23" t="n">
        <x:f>IFERROR(C24/B24,"")</x:f>
        <x:v>0.4749861419068736</x:v>
      </x:c>
      <x:c r="E24" s="23" t="n">
        <x:v>197.2</x:v>
      </x:c>
      <x:c r="F24" s="23" t="n">
        <x:f>IFERROR(E24/B24,"")</x:f>
        <x:v>0.06832039911308203</x:v>
      </x:c>
      <x:c r="G24" s="20" t="str">
        <x:v>Segment COGS is closer to the toy business than consolidated COGS. Distribution is shipping/warehousing in SD&amp;A and is NOT the same as inbound freight/import COGS.</x:v>
      </x:c>
      <x:c r="H24" s="20" t="str">
        <x:v>https://investor.hasbro.com/static-files/f5824da9-0c4e-4e30-8cfe-f0b23f793c38</x:v>
      </x:c>
    </x:row>
    <x:row r="25">
      <x:c r="A25" s="20" t="n">
        <x:v>2024</x:v>
      </x:c>
      <x:c r="B25" s="93" t="n">
        <x:v>2543.9</x:v>
      </x:c>
      <x:c r="C25" s="93" t="n">
        <x:v>931.2</x:v>
      </x:c>
      <x:c r="D25" s="23" t="n">
        <x:f>IFERROR(C25/B25,"")</x:f>
        <x:v>0.36605212469043596</x:v>
      </x:c>
      <x:c r="E25" s="23" t="n">
        <x:v>165.7</x:v>
      </x:c>
      <x:c r="F25" s="23" t="n">
        <x:f>IFERROR(E25/B25,"")</x:f>
        <x:v>0.06513620818428396</x:v>
      </x:c>
      <x:c r="G25" s="20" t="str">
        <x:v>Segment COGS is closer to the toy business than consolidated COGS. Distribution is shipping/warehousing in SD&amp;A and is NOT the same as inbound freight/import COGS.</x:v>
      </x:c>
      <x:c r="H25" s="20" t="str">
        <x:v>https://investor.hasbro.com/static-files/f5824da9-0c4e-4e30-8cfe-f0b23f793c38</x:v>
      </x:c>
    </x:row>
    <x:row r="26">
      <x:c r="A26" s="20" t="n">
        <x:v>2025</x:v>
      </x:c>
      <x:c r="B26" s="93" t="n">
        <x:v>2437.6</x:v>
      </x:c>
      <x:c r="C26" s="93" t="n">
        <x:v>917.2</x:v>
      </x:c>
      <x:c r="D26" s="23" t="n">
        <x:f>IFERROR(C26/B26,"")</x:f>
        <x:v>0.3762717426977355</x:v>
      </x:c>
      <x:c r="E26" s="23" t="n">
        <x:v>163.2</x:v>
      </x:c>
      <x:c r="F26" s="23" t="n">
        <x:f>IFERROR(E26/B26,"")</x:f>
        <x:v>0.06695109944207417</x:v>
      </x:c>
      <x:c r="G26" s="20" t="str">
        <x:v>Segment COGS is closer to the toy business than consolidated COGS. Distribution is shipping/warehousing in SD&amp;A and is NOT the same as inbound freight/import COGS.</x:v>
      </x:c>
      <x:c r="H26" s="20" t="str">
        <x:v>https://investor.hasbro.com/static-files/f5824da9-0c4e-4e30-8cfe-f0b23f793c38</x:v>
      </x:c>
    </x:row>
  </x:sheetData>
  <x:mergeCells>
    <x:mergeCell ref="A1:T1"/>
    <x:mergeCell ref="A2:T2"/>
    <x:mergeCell ref="A22:H22"/>
  </x:mergeCells>
  <x:pageMargins left="0.7" right="0.7" top="0.75" bottom="0.75" header="0.3" footer="0.3"/>
  <x:drawing xmlns:r="http://schemas.openxmlformats.org/officeDocument/2006/relationships" r:id="R6cf7524154b547b7"/>
</x:worksheet>
</file>

<file path=xl/worksheets/sheet14.xml><?xml version="1.0" encoding="utf-8"?>
<x:worksheet xmlns:x="http://schemas.openxmlformats.org/spreadsheetml/2006/main">
  <x:sheetFormatPr defaultRowHeight="15"/>
  <x:cols>
    <x:col min="1" max="1" width="28" hidden="0" customWidth="1"/>
    <x:col min="2" max="2" width="24" hidden="0" customWidth="1"/>
    <x:col min="3" max="3" width="54" hidden="0" customWidth="1"/>
    <x:col min="4" max="4" width="20" hidden="0" customWidth="1"/>
    <x:col min="5" max="5" width="48" hidden="0" customWidth="1"/>
    <x:col min="6" max="6" width="48" hidden="0" customWidth="1"/>
    <x:col min="7" max="7" width="58" hidden="0" customWidth="1"/>
    <x:col min="8" max="8" width="20" hidden="0" customWidth="1"/>
    <x:col min="9" max="9" width="46" hidden="0" customWidth="1"/>
  </x:cols>
  <x:sheetData>
    <x:row r="1">
      <x:c r="A1" s="110" t="str">
        <x:v>Bobby Vala / Valaverse — Action-Figure Manufacturing Context</x:v>
      </x:c>
      <x:c r="B1" s="110"/>
      <x:c r="C1" s="110"/>
      <x:c r="D1" s="110"/>
      <x:c r="E1" s="110"/>
      <x:c r="F1" s="110"/>
      <x:c r="G1" s="110"/>
      <x:c r="H1" s="110"/>
      <x:c r="I1" s="110"/>
    </x:row>
    <x:row r="2">
      <x:c r="A2" s="112" t="str">
        <x:v>Use only as first-hand industry context where the statement is specific and attributable. Do NOT use Bobby Vala/Valaverse to assign a numerical labor share to Marvel Legends; no sufficiently verified labor-percentage disclosure was found.</x:v>
      </x:c>
      <x:c r="B2" s="112"/>
      <x:c r="C2" s="112"/>
      <x:c r="D2" s="112"/>
      <x:c r="E2" s="112"/>
      <x:c r="F2" s="112"/>
      <x:c r="G2" s="112"/>
      <x:c r="H2" s="112"/>
      <x:c r="I2" s="112"/>
    </x:row>
    <x:row r="4">
      <x:c r="A4" s="117" t="str">
        <x:v>Topic</x:v>
      </x:c>
      <x:c r="B4" s="117" t="str">
        <x:v>Direct / Secondary</x:v>
      </x:c>
      <x:c r="C4" s="117" t="str">
        <x:v>Core Claim</x:v>
      </x:c>
      <x:c r="D4" s="117" t="str">
        <x:v>Evidential Strength</x:v>
      </x:c>
      <x:c r="E4" s="117" t="str">
        <x:v>Use in Paper</x:v>
      </x:c>
      <x:c r="F4" s="117" t="str">
        <x:v>Do Not Infer</x:v>
      </x:c>
      <x:c r="G4" s="117" t="str">
        <x:v>Source</x:v>
      </x:c>
      <x:c r="H4" s="117" t="str">
        <x:v>Date</x:v>
      </x:c>
      <x:c r="I4" s="117" t="str">
        <x:v>Notes</x:v>
      </x:c>
    </x:row>
    <x:row r="5">
      <x:c r="A5" s="20" t="str">
        <x:v>Economies of scale / production quantity</x:v>
      </x:c>
      <x:c r="B5" s="20" t="str">
        <x:v>Direct interview + direct company statement</x:v>
      </x:c>
      <x:c r="C5" s="20" t="str">
        <x:v>Vala said increasing production quantities reduced Valaverse's costs; Valaverse later said a growing fanbase and strong factory relationships allowed another core-figure price reduction to $27.99.</x:v>
      </x:c>
      <x:c r="D5" s="20" t="str">
        <x:v>Strong qualitative</x:v>
      </x:c>
      <x:c r="E5" s="20" t="str">
        <x:v>Supports production quantity / scale as a countervailing supply-side factor that can reduce unit cost even while input prices rise.</x:v>
      </x:c>
      <x:c r="F5" s="20" t="str">
        <x:v>Do not translate Valaverse's savings rate into Hasbro's unit-cost savings; no numeric cost reduction percentage is disclosed.</x:v>
      </x:c>
      <x:c r="G5" s="20" t="str">
        <x:v>https://www.the360mag.com/valaverse/ ; https://www.linkedin.com/posts/bobbyvala_looks-like-we-did-it-again-activity-7363047867730599936-aJ1g</x:v>
      </x:c>
      <x:c r="H5" s="20" t="str">
        <x:v>2023 interview; 2025/2026 pricing statement</x:v>
      </x:c>
      <x:c r="I5" s="20" t="str">
        <x:v>Useful for interpretation and limitations, not a regression input.</x:v>
      </x:c>
    </x:row>
    <x:row r="6">
      <x:c r="A6" s="20" t="str">
        <x:v>Mold reuse / tooling amortization</x:v>
      </x:c>
      <x:c r="B6" s="20" t="str">
        <x:v>Direct Valaverse video</x:v>
      </x:c>
      <x:c r="C6" s="20" t="str">
        <x:v>Vala explains reuse and repurposing of molds/parts as a way to cut production costs, speed production, and reduce production risk.</x:v>
      </x:c>
      <x:c r="D6" s="20" t="str">
        <x:v>Strong qualitative</x:v>
      </x:c>
      <x:c r="E6" s="20" t="str">
        <x:v>Supports the project's decision not to assign tooling cost mechanically to each individual figure and reinforces the importance of reuse/amortization.</x:v>
      </x:c>
      <x:c r="F6" s="20" t="str">
        <x:v>Do not infer a specific dollar mold cost or Hasbro reuse rate from the video.</x:v>
      </x:c>
      <x:c r="G6" s="20" t="str">
        <x:v>https://www.youtube.com/watch?v=AKQKnSbY7oQ</x:v>
      </x:c>
      <x:c r="H6" s="20" t="str">
        <x:v>2024-11-02</x:v>
      </x:c>
      <x:c r="I6" s="20" t="str">
        <x:v>Direct manufacturer commentary; especially relevant to 1:12 action-figure tooling logic.</x:v>
      </x:c>
    </x:row>
    <x:row r="7">
      <x:c r="A7" s="20" t="str">
        <x:v>Manufacturing process complexity / domestic-vs-China production</x:v>
      </x:c>
      <x:c r="B7" s="20" t="str">
        <x:v>Direct Valaverse video</x:v>
      </x:c>
      <x:c r="C7" s="20" t="str">
        <x:v>After contacting more than a dozen U.S. injection-molding factories, Vala said collector-grade action-figure production in the U.S. was quoted roughly 3–4 times the China cost and described deco steps such as tampo, spray masking, and inkjet printing as important production capabilities.</x:v>
      </x:c>
      <x:c r="D7" s="20" t="str">
        <x:v>Moderate-to-strong qualitative</x:v>
      </x:c>
      <x:c r="E7" s="20" t="str">
        <x:v>Shows that action-figure cost is not reducible to raw material prices or wage rates alone; process capability, deco operations, factory specialization, and production efficiency matter.</x:v>
      </x:c>
      <x:c r="F7" s="20" t="str">
        <x:v>Do not treat the 3–4x figure as a Hasbro cost ratio or isolate it as a labor-only difference.</x:v>
      </x:c>
      <x:c r="G7" s="20" t="str">
        <x:v>https://www.youtube.com/watch?v=qT2tQjKa1JA</x:v>
      </x:c>
      <x:c r="H7" s="20" t="str">
        <x:v>2025-06-14</x:v>
      </x:c>
      <x:c r="I7" s="20" t="str">
        <x:v>First-hand Valaverse sourcing/manufacturing account; useful context for why national wage comparisons are only proxies.</x:v>
      </x:c>
    </x:row>
    <x:row r="8">
      <x:c r="A8" s="20" t="str">
        <x:v>Factory labor share</x:v>
      </x:c>
      <x:c r="B8" s="20" t="str">
        <x:v>Search result / absence of verified disclosure</x:v>
      </x:c>
      <x:c r="C8" s="20" t="str">
        <x:v>No sufficiently verified Bobby Vala statement was located giving factory labor as a percentage of a finished 1:12 action figure's production cost.</x:v>
      </x:c>
      <x:c r="D8" s="20" t="str">
        <x:v>Not usable numerically</x:v>
      </x:c>
      <x:c r="E8" s="20" t="str">
        <x:v>None as a numeric input; retain Hasbro accounting + national manufacturing wage + sourcing-share method.</x:v>
      </x:c>
      <x:c r="F8" s="20" t="str">
        <x:v>Do not assign Marvel Legends labor share from Bobby Vala commentary.</x:v>
      </x:c>
      <x:c r="G8" s="20" t="str"/>
      <x:c r="H8" s="20" t="str">
        <x:v>Reviewed through 2026-10-01</x:v>
      </x:c>
      <x:c r="I8" s="20" t="str">
        <x:v>Important negative finding: expert commentary does not replace the current labor-estimation method.</x:v>
      </x:c>
    </x:row>
    <x:row r="11">
      <x:c r="A11" s="120" t="str">
        <x:v>Methodological Conclusion</x:v>
      </x:c>
      <x:c r="B11" s="120" t="str">
        <x:v>Decision</x:v>
      </x:c>
      <x:c r="C11" s="120" t="str">
        <x:v>Reason</x:v>
      </x:c>
    </x:row>
    <x:row r="12">
      <x:c r="A12" s="20" t="str">
        <x:v>Labor estimation</x:v>
      </x:c>
      <x:c r="B12" s="20" t="str">
        <x:v>No change</x:v>
      </x:c>
      <x:c r="C12" s="20" t="str">
        <x:v>Continue using official China/Vietnam/India manufacturing wage changes, Hasbro sourcing exposure, and Hasbro's historical corporate labor share only as a benchmark/sensitivity anchor.</x:v>
      </x:c>
    </x:row>
    <x:row r="13">
      <x:c r="A13" s="20" t="str">
        <x:v>Tooling interpretation</x:v>
      </x:c>
      <x:c r="B13" s="20" t="str">
        <x:v>Strengthened</x:v>
      </x:c>
      <x:c r="C13" s="20" t="str">
        <x:v>Direct industry commentary supports treating reuse and amortization as factors that can lower effective unit tooling cost.</x:v>
      </x:c>
    </x:row>
    <x:row r="14">
      <x:c r="A14" s="20" t="str">
        <x:v>Model limitations</x:v>
      </x:c>
      <x:c r="B14" s="20" t="str">
        <x:v>Expand interpretation</x:v>
      </x:c>
      <x:c r="C14" s="20" t="str">
        <x:v>Acknowledge scale, factory specialization, production efficiency, and deco operations as omitted/countervailing factors that may weaken one-for-one pass-through from input indexes to MSRP.</x:v>
      </x:c>
    </x:row>
  </x:sheetData>
  <x:mergeCells>
    <x:mergeCell ref="A1:I1"/>
    <x:mergeCell ref="A2:I2"/>
  </x:mergeCells>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20" hidden="0" customWidth="1"/>
    <x:col min="3" max="3" width="20" hidden="0" customWidth="1"/>
    <x:col min="4" max="4" width="44" hidden="0" customWidth="1"/>
    <x:col min="5" max="5" width="4" hidden="0" customWidth="1"/>
    <x:col min="6" max="6" width="18" hidden="0" customWidth="1"/>
    <x:col min="7" max="7" width="18" hidden="0" customWidth="1"/>
    <x:col min="8" max="8" width="18" hidden="0" customWidth="1"/>
    <x:col min="9" max="9" width="18" hidden="0" customWidth="1"/>
    <x:col min="10" max="10" width="32" hidden="0" customWidth="1"/>
  </x:cols>
  <x:sheetData>
    <x:row r="1">
      <x:c r="A1" s="125" t="str">
        <x:v>Inbound Ocean Freight — 2019–2026</x:v>
      </x:c>
      <x:c r="B1" s="125"/>
      <x:c r="C1" s="125"/>
      <x:c r="D1" s="125"/>
      <x:c r="E1" s="125"/>
      <x:c r="F1" s="125"/>
      <x:c r="G1" s="125"/>
      <x:c r="H1" s="125"/>
      <x:c r="I1" s="125"/>
      <x:c r="J1" s="125"/>
    </x:row>
    <x:row r="2">
      <x:c r="A2" s="127" t="str">
        <x:v>Core quantitative proxy: BLS Producer Price Index for Deep Sea Freight Transportation (PCU483111483111). It is a broad monthly ocean-freight price proxy, not a China-to-U.S. container spot-rate series. Drewry Shanghai–Los Angeles/New York spot rates are retained as route-specific context. Tariffs remain separate.</x:v>
      </x:c>
      <x:c r="B2" s="127"/>
      <x:c r="C2" s="127"/>
      <x:c r="D2" s="127"/>
      <x:c r="E2" s="127"/>
      <x:c r="F2" s="127"/>
      <x:c r="G2" s="127"/>
      <x:c r="H2" s="127"/>
      <x:c r="I2" s="127"/>
      <x:c r="J2" s="127"/>
    </x:row>
    <x:row r="4">
      <x:c r="A4" s="130" t="str">
        <x:v>Metric</x:v>
      </x:c>
      <x:c r="B4" s="130" t="str">
        <x:v>Observation</x:v>
      </x:c>
      <x:c r="C4" s="130" t="str">
        <x:v>Change vs Jan-2019</x:v>
      </x:c>
      <x:c r="D4" s="130" t="str">
        <x:v>Interpretation</x:v>
      </x:c>
      <x:c r="F4" s="133" t="str">
        <x:v>Year</x:v>
      </x:c>
      <x:c r="G4" s="133" t="str">
        <x:v>Freight/Import % Revenue</x:v>
      </x:c>
      <x:c r="H4" s="133" t="str">
        <x:v>COGS % Revenue</x:v>
      </x:c>
      <x:c r="I4" s="133" t="str">
        <x:v>Freight/Import % of COGS</x:v>
      </x:c>
      <x:c r="J4" s="133" t="str">
        <x:v>Source Basis</x:v>
      </x:c>
    </x:row>
    <x:row r="5">
      <x:c r="A5" s="20" t="str">
        <x:v>Jan 2019 BLS deep-sea freight PPI</x:v>
      </x:c>
      <x:c r="B5" s="22" t="n">
        <x:v>307.2</x:v>
      </x:c>
      <x:c r="C5" s="23" t="n">
        <x:v>0</x:v>
      </x:c>
      <x:c r="D5" s="20" t="str">
        <x:v>Pre-study baseline.</x:v>
      </x:c>
      <x:c r="F5" s="20" t="n">
        <x:v>2019</x:v>
      </x:c>
      <x:c r="G5" s="23" t="n">
        <x:v>0.026</x:v>
      </x:c>
      <x:c r="H5" s="23" t="n">
        <x:v>0.383</x:v>
      </x:c>
      <x:c r="I5" s="23" t="n">
        <x:f>G5/H5</x:f>
        <x:v>0.06788511749347258</x:v>
      </x:c>
      <x:c r="J5" s="20" t="str">
        <x:v>Hasbro detailed cost-of-sales table</x:v>
      </x:c>
    </x:row>
    <x:row r="6">
      <x:c r="A6" s="20" t="str">
        <x:v>Nov 2020 low</x:v>
      </x:c>
      <x:c r="B6" s="22" t="n">
        <x:v>281.1</x:v>
      </x:c>
      <x:c r="C6" s="23" t="n">
        <x:f>B6/$B$5-1</x:f>
        <x:v>-0.08496093749999989</x:v>
      </x:c>
      <x:c r="D6" s="20" t="str">
        <x:v>Broad freight index initially weakened during the pandemic disruption.</x:v>
      </x:c>
      <x:c r="F6" s="20" t="n">
        <x:v>2020</x:v>
      </x:c>
      <x:c r="G6" s="23" t="n">
        <x:v>0.023</x:v>
      </x:c>
      <x:c r="H6" s="23" t="n">
        <x:v>0.315</x:v>
      </x:c>
      <x:c r="I6" s="23" t="n">
        <x:f>G6/H6</x:f>
        <x:v>0.07301587301587302</x:v>
      </x:c>
      <x:c r="J6" s="20" t="str">
        <x:v>Hasbro detailed cost-of-sales table</x:v>
      </x:c>
    </x:row>
    <x:row r="7">
      <x:c r="A7" s="20" t="str">
        <x:v>Sep 2022 pandemic-era peak in this series</x:v>
      </x:c>
      <x:c r="B7" s="22" t="n">
        <x:v>468.156</x:v>
      </x:c>
      <x:c r="C7" s="23" t="n">
        <x:f>B7/$B$5-1</x:f>
        <x:v>0.5239453125</x:v>
      </x:c>
      <x:c r="D7" s="20" t="str">
        <x:v>Broad deep-sea freight prices were materially above the 2019 baseline.</x:v>
      </x:c>
      <x:c r="F7" s="20" t="n">
        <x:v>2021</x:v>
      </x:c>
      <x:c r="G7" s="23" t="n">
        <x:v>0.035</x:v>
      </x:c>
      <x:c r="H7" s="23" t="n">
        <x:v>0.3</x:v>
      </x:c>
      <x:c r="I7" s="23" t="n">
        <x:f>G7/H7</x:f>
        <x:v>0.11666666666666668</x:v>
      </x:c>
      <x:c r="J7" s="20" t="str">
        <x:v>Hasbro detailed cost-of-sales table</x:v>
      </x:c>
    </x:row>
    <x:row r="8">
      <x:c r="A8" s="20" t="str">
        <x:v>Dec 2023</x:v>
      </x:c>
      <x:c r="B8" s="22" t="n">
        <x:v>408.436</x:v>
      </x:c>
      <x:c r="C8" s="23" t="n">
        <x:f>B8/$B$5-1</x:f>
        <x:v>0.3295442708333334</x:v>
      </x:c>
      <x:c r="D8" s="20" t="str">
        <x:v>Freight pressure eased from 2022 but remained above 2019 in this broad index.</x:v>
      </x:c>
      <x:c r="F8" s="20" t="n">
        <x:v>2022</x:v>
      </x:c>
      <x:c r="G8" s="23" t="n">
        <x:v>0.041</x:v>
      </x:c>
      <x:c r="H8" s="23" t="n">
        <x:v>0.326</x:v>
      </x:c>
      <x:c r="I8" s="23" t="n">
        <x:f>G8/H8</x:f>
        <x:v>0.12576687116564417</x:v>
      </x:c>
      <x:c r="J8" s="20" t="str">
        <x:v>Hasbro detailed cost-of-sales table</x:v>
      </x:c>
    </x:row>
    <x:row r="9">
      <x:c r="A9" s="20" t="str">
        <x:v>Dec 2024</x:v>
      </x:c>
      <x:c r="B9" s="22" t="n">
        <x:v>394.191</x:v>
      </x:c>
      <x:c r="C9" s="23" t="n">
        <x:f>B9/$B$5-1</x:f>
        <x:v>0.283173828125</x:v>
      </x:c>
      <x:c r="D9" s="20" t="str">
        <x:v>Further easing, still above the 2019 baseline.</x:v>
      </x:c>
    </x:row>
    <x:row r="10">
      <x:c r="A10" s="20" t="str">
        <x:v>Aug 2026</x:v>
      </x:c>
      <x:c r="B10" s="22" t="n">
        <x:v>518.617</x:v>
      </x:c>
      <x:c r="C10" s="23" t="n">
        <x:f>B10/$B$5-1</x:f>
        <x:v>0.6882063802083334</x:v>
      </x:c>
      <x:c r="D10" s="20" t="str">
        <x:v>Broad deep-sea freight PPI reached a new study-period high; do not equate this with China–U.S. container spot rates.</x:v>
      </x:c>
    </x:row>
    <x:row r="13">
      <x:c r="A13" s="136" t="str">
        <x:v>Date / Period</x:v>
      </x:c>
      <x:c r="B13" s="136" t="str">
        <x:v>Measure</x:v>
      </x:c>
      <x:c r="C13" s="136" t="str">
        <x:v>Shanghai–Los Angeles</x:v>
      </x:c>
      <x:c r="D13" s="136" t="str">
        <x:v>Shanghai–New York</x:v>
      </x:c>
      <x:c r="E13" s="136" t="str">
        <x:v>Meaning</x:v>
      </x:c>
      <x:c r="F13" s="136" t="str">
        <x:v>Source</x:v>
      </x:c>
    </x:row>
    <x:row r="14">
      <x:c r="A14" s="20" t="str">
        <x:v>Apr 2019</x:v>
      </x:c>
      <x:c r="B14" s="20" t="str">
        <x:v>Drewry spot rate ($/40ft)</x:v>
      </x:c>
      <x:c r="C14" s="138" t="n">
        <x:v>1504</x:v>
      </x:c>
      <x:c r="D14" s="138"/>
      <x:c r="E14" s="20" t="str">
        <x:v>Illustrative pre-pandemic Shanghai–LA rate; route-specific spot rate, not Hasbro contract rate.</x:v>
      </x:c>
      <x:c r="F14" s="20" t="str">
        <x:v>https://www.freightwaves.com/news/maritime-20190415-box-rates-down-down-down</x:v>
      </x:c>
    </x:row>
    <x:row r="15">
      <x:c r="A15" s="20" t="str">
        <x:v>Sep 16 2021</x:v>
      </x:c>
      <x:c r="B15" s="20" t="str">
        <x:v>Drewry spot rate ($/40ft)</x:v>
      </x:c>
      <x:c r="C15" s="138" t="n">
        <x:v>12424</x:v>
      </x:c>
      <x:c r="D15" s="138" t="n">
        <x:v>16138</x:v>
      </x:c>
      <x:c r="E15" s="20" t="str">
        <x:v>Pandemic-era route peak area; shows magnitude of transpacific container shock.</x:v>
      </x:c>
      <x:c r="F15" s="20" t="str">
        <x:v>https://www.fbjna.com/edrewry-world-container-index-sept-16-2021/</x:v>
      </x:c>
    </x:row>
    <x:row r="16">
      <x:c r="A16" s="20" t="str">
        <x:v>Sep 1 2022</x:v>
      </x:c>
      <x:c r="B16" s="20" t="str">
        <x:v>Drewry spot rate ($/40ft)</x:v>
      </x:c>
      <x:c r="C16" s="138" t="n">
        <x:v>5562</x:v>
      </x:c>
      <x:c r="D16" s="138" t="n">
        <x:v>9304</x:v>
      </x:c>
      <x:c r="E16" s="20" t="str">
        <x:v>Spot rates had fallen substantially from 2021 peaks but remained elevated.</x:v>
      </x:c>
      <x:c r="F16" s="20" t="str">
        <x:v>https://www.worldports.org/drewrys-world-container-index-01-sep/</x:v>
      </x:c>
    </x:row>
    <x:row r="17">
      <x:c r="A17" s="20" t="str">
        <x:v>Dec 2023</x:v>
      </x:c>
      <x:c r="B17" s="20" t="str">
        <x:v>Drewry spot rate ($/40ft)</x:v>
      </x:c>
      <x:c r="C17" s="138" t="n">
        <x:v>1971</x:v>
      </x:c>
      <x:c r="D17" s="138"/>
      <x:c r="E17" s="20" t="str">
        <x:v>Shanghai–LA spot rates had largely normalized relative to the pandemic spike.</x:v>
      </x:c>
      <x:c r="F17" s="20" t="str">
        <x:v>https://www.jiffa.or.jp/en/news/entry-8624.html</x:v>
      </x:c>
    </x:row>
    <x:row r="18">
      <x:c r="A18" s="20" t="str">
        <x:v>Sep 24 2026</x:v>
      </x:c>
      <x:c r="B18" s="20" t="str">
        <x:v>Drewry spot rate ($/40ft)</x:v>
      </x:c>
      <x:c r="C18" s="138" t="n">
        <x:v>7838</x:v>
      </x:c>
      <x:c r="D18" s="138" t="n">
        <x:v>10373</x:v>
      </x:c>
      <x:c r="E18" s="20" t="str">
        <x:v>Transpacific spot freight was elevated again in 2026; current route rates remain distinct from tariff costs.</x:v>
      </x:c>
      <x:c r="F18" s="20" t="str">
        <x:v>https://www.drewry.co.uk/supply-chain-advisors/supply-chain-expertise/world-container-index-assessed-by-drewry?redirected=1</x:v>
      </x:c>
    </x:row>
    <x:row r="21">
      <x:c r="A21" s="141" t="str">
        <x:v>Decision</x:v>
      </x:c>
      <x:c r="B21" s="141" t="str">
        <x:v>Use</x:v>
      </x:c>
      <x:c r="C21" s="141" t="str">
        <x:v>Do Not Use As</x:v>
      </x:c>
      <x:c r="D21" s="141" t="str">
        <x:v>Reason</x:v>
      </x:c>
    </x:row>
    <x:row r="22">
      <x:c r="A22" s="20" t="str">
        <x:v>Core freight proxy</x:v>
      </x:c>
      <x:c r="B22" s="20" t="str">
        <x:v>Monthly BLS deep-sea freight PPI in descriptive/model testing</x:v>
      </x:c>
      <x:c r="C22" s="20" t="str">
        <x:v>Exact Hasbro freight bill or China–U.S. route rate</x:v>
      </x:c>
      <x:c r="D22" s="20" t="str">
        <x:v>Continuous 2019–2026 official monthly series.</x:v>
      </x:c>
    </x:row>
    <x:row r="23">
      <x:c r="A23" s="20" t="str">
        <x:v>Route-specific check</x:v>
      </x:c>
      <x:c r="B23" s="20" t="str">
        <x:v>Drewry Shanghai–LA / Shanghai–NY spot-rate evidence</x:v>
      </x:c>
      <x:c r="C23" s="20" t="str">
        <x:v>Hasbro's contracted freight rate</x:v>
      </x:c>
      <x:c r="D23" s="20" t="str">
        <x:v>Validates the real transpacific shock and subsequent normalization/re-escalation.</x:v>
      </x:c>
    </x:row>
    <x:row r="24">
      <x:c r="A24" s="20" t="str">
        <x:v>Tariffs</x:v>
      </x:c>
      <x:c r="B24" s="20" t="str">
        <x:v>Separate import-duty variable / documented Hasbro tariff expense</x:v>
      </x:c>
      <x:c r="C24" s="20" t="str">
        <x:v>Freight</x:v>
      </x:c>
      <x:c r="D24" s="20" t="str">
        <x:v>Tariffs are policy-driven import costs, not transportation charges.</x:v>
      </x:c>
    </x:row>
  </x:sheetData>
  <x:mergeCells>
    <x:mergeCell ref="A1:J1"/>
    <x:mergeCell ref="A2:J2"/>
  </x:mergeCells>
  <x:pageMargins left="0.7" right="0.7" top="0.75" bottom="0.75" header="0.3" footer="0.3"/>
  <x:drawing xmlns:r="http://schemas.openxmlformats.org/officeDocument/2006/relationships" r:id="R65f09dcaed2942b6"/>
</x:worksheet>
</file>

<file path=xl/worksheets/sheet16.xml><?xml version="1.0" encoding="utf-8"?>
<x:worksheet xmlns:x="http://schemas.openxmlformats.org/spreadsheetml/2006/main">
  <x:sheetFormatPr defaultRowHeight="15"/>
  <x:cols>
    <x:col min="1" max="1" width="24" hidden="0" customWidth="1"/>
    <x:col min="2" max="2" width="20" hidden="0" customWidth="1"/>
    <x:col min="3" max="3" width="28" hidden="0" customWidth="1"/>
    <x:col min="4" max="4" width="18" hidden="0" customWidth="1"/>
    <x:col min="5" max="5" width="44" hidden="0" customWidth="1"/>
    <x:col min="6" max="6" width="46" hidden="0" customWidth="1"/>
    <x:col min="7" max="7" width="4" hidden="0" customWidth="1"/>
    <x:col min="8" max="8" width="24" hidden="0" customWidth="1"/>
    <x:col min="9" max="9" width="20" hidden="0" customWidth="1"/>
    <x:col min="10" max="10" width="20" hidden="0" customWidth="1"/>
    <x:col min="11" max="11" width="16" hidden="0" customWidth="1"/>
    <x:col min="12" max="12" width="46" hidden="0" customWidth="1"/>
  </x:cols>
  <x:sheetData>
    <x:row r="1">
      <x:c r="A1" s="149" t="str">
        <x:v>Tariff / Import-Duty Pressure — Hasbro / China-Origin Toys, 2019–2026</x:v>
      </x:c>
      <x:c r="B1" s="149"/>
      <x:c r="C1" s="149"/>
      <x:c r="D1" s="149"/>
      <x:c r="E1" s="149"/>
      <x:c r="F1" s="149"/>
      <x:c r="G1" s="149"/>
      <x:c r="H1" s="149"/>
      <x:c r="I1" s="149"/>
      <x:c r="J1" s="149"/>
      <x:c r="K1" s="149"/>
      <x:c r="L1" s="149"/>
    </x:row>
    <x:row r="2">
      <x:c r="A2" s="151" t="str">
        <x:v>Tariffs are treated separately from freight. The policy-rate timeline below is a proxy for China-origin toys comparable to HTS 9503.00.0090 (base general duty free) and is not a claim about the exact customs classification or realized duty on every Marvel Legends shipment. Hasbro's own recognized tariff expense is used as the stronger company-level evidence.</x:v>
      </x:c>
      <x:c r="B2" s="151"/>
      <x:c r="C2" s="151"/>
      <x:c r="D2" s="151"/>
      <x:c r="E2" s="151"/>
      <x:c r="F2" s="151"/>
      <x:c r="G2" s="151"/>
      <x:c r="H2" s="151"/>
      <x:c r="I2" s="151"/>
      <x:c r="J2" s="151"/>
      <x:c r="K2" s="151"/>
      <x:c r="L2" s="151"/>
    </x:row>
    <x:row r="4">
      <x:c r="A4" s="154" t="str">
        <x:v>Period</x:v>
      </x:c>
      <x:c r="B4" s="154" t="str">
        <x:v>China-Origin Toy Additional Duty Proxy</x:v>
      </x:c>
      <x:c r="C4" s="154" t="str">
        <x:v>Policy Driver</x:v>
      </x:c>
      <x:c r="D4" s="154" t="str">
        <x:v>Base Toy Duty</x:v>
      </x:c>
      <x:c r="E4" s="154" t="str">
        <x:v>Interpretation</x:v>
      </x:c>
      <x:c r="F4" s="154" t="str">
        <x:v>Primary Source</x:v>
      </x:c>
      <x:c r="H4" s="157" t="str">
        <x:v>Period</x:v>
      </x:c>
      <x:c r="I4" s="157" t="str">
        <x:v>Hasbro Recognized Tariff Cost ($m)</x:v>
      </x:c>
      <x:c r="J4" s="157" t="str">
        <x:v>Reference Cost Base ($m)</x:v>
      </x:c>
      <x:c r="K4" s="157" t="str">
        <x:v>Derived Share</x:v>
      </x:c>
      <x:c r="L4" s="157" t="str">
        <x:v>Interpretation</x:v>
      </x:c>
    </x:row>
    <x:row r="5">
      <x:c r="A5" s="20" t="str">
        <x:v>2019–2024</x:v>
      </x:c>
      <x:c r="B5" s="23" t="n">
        <x:v>0</x:v>
      </x:c>
      <x:c r="C5" s="20" t="str">
        <x:v>No 2025 IEEPA/reciprocal actions yet; comparable HTS 9503.00.0090 toy rulings show general duty Free</x:v>
      </x:c>
      <x:c r="D5" s="20" t="str">
        <x:v>Free</x:v>
      </x:c>
      <x:c r="E5" s="20" t="str">
        <x:v>Use as pre-2025 baseline for comparable China-origin toy classification; exact Marvel Legends entry treatment not publicly disclosed.</x:v>
      </x:c>
      <x:c r="F5" s="20" t="str">
        <x:v>CBP rulings N304499 / N318791 / N335058</x:v>
      </x:c>
      <x:c r="H5" s="20" t="str">
        <x:v>FY 2025</x:v>
      </x:c>
      <x:c r="I5" s="20" t="n">
        <x:v>44.9</x:v>
      </x:c>
      <x:c r="J5" s="20" t="n">
        <x:v>917.2</x:v>
      </x:c>
      <x:c r="K5" s="23" t="n">
        <x:f>I5/J5</x:f>
        <x:v>0.04895333624073266</x:v>
      </x:c>
      <x:c r="L5" s="20" t="str">
        <x:v>Tariff cost recognized in Consumer Products cost of sales context; use as company/segment-level evidence, not Marvel Legends-specific cost.</x:v>
      </x:c>
    </x:row>
    <x:row r="6">
      <x:c r="A6" s="20" t="str">
        <x:v>2025-02-04 to 2025-03-03</x:v>
      </x:c>
      <x:c r="B6" s="23" t="n">
        <x:v>0.1</x:v>
      </x:c>
      <x:c r="C6" s="20" t="str">
        <x:v>IEEPA China fentanyl tariff</x:v>
      </x:c>
      <x:c r="D6" s="20" t="str">
        <x:v>Free</x:v>
      </x:c>
      <x:c r="E6" s="20" t="str">
        <x:v>10% additional duty on China imports.</x:v>
      </x:c>
      <x:c r="F6" s="20" t="str">
        <x:v>White House EO 14195</x:v>
      </x:c>
      <x:c r="H6" s="20" t="str">
        <x:v>Q1 2026</x:v>
      </x:c>
      <x:c r="I6" s="20" t="n">
        <x:v>8.3</x:v>
      </x:c>
      <x:c r="J6" s="20"/>
      <x:c r="K6" s="20"/>
      <x:c r="L6" s="20" t="str">
        <x:v>Tariff costs recognized in first quarter 2026.</x:v>
      </x:c>
    </x:row>
    <x:row r="7">
      <x:c r="A7" s="20" t="str">
        <x:v>2025-03-04 to 2025-04-04</x:v>
      </x:c>
      <x:c r="B7" s="23" t="n">
        <x:v>0.2</x:v>
      </x:c>
      <x:c r="C7" s="20" t="str">
        <x:v>IEEPA China fentanyl tariff increased</x:v>
      </x:c>
      <x:c r="D7" s="20" t="str">
        <x:v>Free</x:v>
      </x:c>
      <x:c r="E7" s="20" t="str">
        <x:v>20% additional duty.</x:v>
      </x:c>
      <x:c r="F7" s="20" t="str">
        <x:v>White House EO 14228</x:v>
      </x:c>
      <x:c r="H7" s="20" t="str">
        <x:v>Q2 2026</x:v>
      </x:c>
      <x:c r="I7" s="20" t="n">
        <x:v>9.4</x:v>
      </x:c>
      <x:c r="J7" s="20"/>
      <x:c r="K7" s="20"/>
      <x:c r="L7" s="20" t="str">
        <x:v>Tariff costs recognized in second quarter 2026.</x:v>
      </x:c>
    </x:row>
    <x:row r="8">
      <x:c r="A8" s="20" t="str">
        <x:v>2025-04-05 to 2025-04-08</x:v>
      </x:c>
      <x:c r="B8" s="23" t="n">
        <x:v>0.3</x:v>
      </x:c>
      <x:c r="C8" s="20" t="str">
        <x:v>20% fentanyl + 10% reciprocal baseline</x:v>
      </x:c>
      <x:c r="D8" s="20" t="str">
        <x:v>Free</x:v>
      </x:c>
      <x:c r="E8" s="20" t="str">
        <x:v>Approx. 30% combined additional duty for comparable China-origin toys.</x:v>
      </x:c>
      <x:c r="F8" s="20" t="str">
        <x:v>White House reciprocal tariff action</x:v>
      </x:c>
      <x:c r="H8" s="20" t="str">
        <x:v>H1 2026</x:v>
      </x:c>
      <x:c r="I8" s="20" t="n">
        <x:v>17.7</x:v>
      </x:c>
      <x:c r="J8" s="20"/>
      <x:c r="K8" s="20"/>
      <x:c r="L8" s="20" t="str">
        <x:v>Cumulative tariff costs recognized in first six months 2026.</x:v>
      </x:c>
    </x:row>
    <x:row r="9">
      <x:c r="A9" s="20" t="str">
        <x:v>2025-04-09</x:v>
      </x:c>
      <x:c r="B9" s="23" t="n">
        <x:v>1.04</x:v>
      </x:c>
      <x:c r="C9" s="20" t="str">
        <x:v>20% fentanyl + 84% China reciprocal</x:v>
      </x:c>
      <x:c r="D9" s="20" t="str">
        <x:v>Free</x:v>
      </x:c>
      <x:c r="E9" s="20" t="str">
        <x:v>Approx. 104% combined additional duty; extremely brief escalation.</x:v>
      </x:c>
      <x:c r="F9" s="20" t="str">
        <x:v>White House Apr. 8 action</x:v>
      </x:c>
    </x:row>
    <x:row r="10">
      <x:c r="A10" s="20" t="str">
        <x:v>2025-04-10 to 2025-05-13</x:v>
      </x:c>
      <x:c r="B10" s="23" t="n">
        <x:v>1.45</x:v>
      </x:c>
      <x:c r="C10" s="20" t="str">
        <x:v>20% fentanyl + 125% China reciprocal</x:v>
      </x:c>
      <x:c r="D10" s="20" t="str">
        <x:v>Free</x:v>
      </x:c>
      <x:c r="E10" s="20" t="str">
        <x:v>Approx. 145% combined additional duty during peak escalation.</x:v>
      </x:c>
      <x:c r="F10" s="20" t="str">
        <x:v>White House Apr. 9 action</x:v>
      </x:c>
      <x:c r="H10" s="160" t="str">
        <x:v>2025 Tariff-Cost Benchmark</x:v>
      </x:c>
      <x:c r="I10" s="160" t="str">
        <x:v>Numerator ($m)</x:v>
      </x:c>
      <x:c r="J10" s="160" t="str">
        <x:v>Denominator ($m)</x:v>
      </x:c>
      <x:c r="K10" s="160" t="str">
        <x:v>Share</x:v>
      </x:c>
      <x:c r="L10" s="160" t="str">
        <x:v>Scope</x:v>
      </x:c>
    </x:row>
    <x:row r="11">
      <x:c r="A11" s="20" t="str">
        <x:v>2025-05-14 to 2025-11-09</x:v>
      </x:c>
      <x:c r="B11" s="23" t="n">
        <x:v>0.3</x:v>
      </x:c>
      <x:c r="C11" s="20" t="str">
        <x:v>20% fentanyl + 10% reciprocal</x:v>
      </x:c>
      <x:c r="D11" s="20" t="str">
        <x:v>Free</x:v>
      </x:c>
      <x:c r="E11" s="20" t="str">
        <x:v>Approx. 30% combined additional duty after temporary reciprocal reduction.</x:v>
      </x:c>
      <x:c r="F11" s="20" t="str">
        <x:v>White House May 12 action</x:v>
      </x:c>
      <x:c r="H11" s="20" t="str">
        <x:v>Tariff / Consumer Products COGS</x:v>
      </x:c>
      <x:c r="I11" s="20" t="n">
        <x:v>44.9</x:v>
      </x:c>
      <x:c r="J11" s="20" t="n">
        <x:v>917.2</x:v>
      </x:c>
      <x:c r="K11" s="23" t="n">
        <x:f>I11/J11</x:f>
        <x:v>0.04895333624073266</x:v>
      </x:c>
      <x:c r="L11" s="20" t="str">
        <x:v>Closest available toy-business accounting benchmark; not Marvel Legends-specific.</x:v>
      </x:c>
    </x:row>
    <x:row r="12">
      <x:c r="A12" s="20" t="str">
        <x:v>2025-11-10 to 2026-02-23</x:v>
      </x:c>
      <x:c r="B12" s="23" t="n">
        <x:v>0.2</x:v>
      </x:c>
      <x:c r="C12" s="20" t="str">
        <x:v>10% fentanyl + 10% reciprocal</x:v>
      </x:c>
      <x:c r="D12" s="20" t="str">
        <x:v>Free</x:v>
      </x:c>
      <x:c r="E12" s="20" t="str">
        <x:v>Approx. 20% combined additional duty after fentanyl rate reduction.</x:v>
      </x:c>
      <x:c r="F12" s="20" t="str">
        <x:v>White House Nov. 4 action</x:v>
      </x:c>
      <x:c r="H12" s="20" t="str">
        <x:v>Tariff / Consumer Products revenue</x:v>
      </x:c>
      <x:c r="I12" s="20" t="n">
        <x:v>44.9</x:v>
      </x:c>
      <x:c r="J12" s="20" t="n">
        <x:v>2437.6</x:v>
      </x:c>
      <x:c r="K12" s="23" t="n">
        <x:f>I12/J12</x:f>
        <x:v>0.01841975713816869</x:v>
      </x:c>
      <x:c r="L12" s="20" t="str">
        <x:v>Shows tariff expense relative to segment sales.</x:v>
      </x:c>
    </x:row>
    <x:row r="13">
      <x:c r="A13" s="20" t="str">
        <x:v>2026-02-24 to 2026-07-23</x:v>
      </x:c>
      <x:c r="B13" s="23" t="n">
        <x:v>0.1</x:v>
      </x:c>
      <x:c r="C13" s="20" t="str">
        <x:v>Temporary Section 122 import surcharge</x:v>
      </x:c>
      <x:c r="D13" s="20" t="str">
        <x:v>Free</x:v>
      </x:c>
      <x:c r="E13" s="20" t="str">
        <x:v>10% broad temporary surcharge after IEEPA duties ended.</x:v>
      </x:c>
      <x:c r="F13" s="20" t="str">
        <x:v>White House / USTR Section 122 action</x:v>
      </x:c>
      <x:c r="H13" s="20" t="str">
        <x:v>Tariff / consolidated Hasbro COGS</x:v>
      </x:c>
      <x:c r="I13" s="20" t="n">
        <x:v>44.9</x:v>
      </x:c>
      <x:c r="J13" s="20" t="n">
        <x:v>1296.2</x:v>
      </x:c>
      <x:c r="K13" s="23" t="n">
        <x:f>I13/J13</x:f>
        <x:v>0.034639716093195494</x:v>
      </x:c>
      <x:c r="L13" s="20" t="str">
        <x:v>Company-wide accounting benchmark.</x:v>
      </x:c>
    </x:row>
    <x:row r="14">
      <x:c r="A14" s="20" t="str">
        <x:v>2026-07-24 onward (as of 2026-10-01)</x:v>
      </x:c>
      <x:c r="B14" s="23" t="n">
        <x:v>0.125</x:v>
      </x:c>
      <x:c r="C14" s="20" t="str">
        <x:v>Section 301 forced-labor tariff on China</x:v>
      </x:c>
      <x:c r="D14" s="20" t="str">
        <x:v>Free</x:v>
      </x:c>
      <x:c r="E14" s="20" t="str">
        <x:v>12.5% additional duty currently in force absent a product-specific exclusion or later implementing relief.</x:v>
      </x:c>
      <x:c r="F14" s="20" t="str">
        <x:v>USTR / CBP Jul. 24 action</x:v>
      </x:c>
    </x:row>
    <x:row r="15">
      <x:c r="A15" s="20" t="str">
        <x:v>2026-09-27 recommendation</x:v>
      </x:c>
      <x:c r="B15" s="20" t="str"/>
      <x:c r="C15" s="20" t="str">
        <x:v>U.S.–China Board of Trade recommendation for reduced treatment on selected goods including toys</x:v>
      </x:c>
      <x:c r="D15" s="20" t="str">
        <x:v>Free</x:v>
      </x:c>
      <x:c r="E15" s="20" t="str">
        <x:v>Potential future relief; not treated as implemented because final effective rate/date had not yet been confirmed as of Oct. 1, 2026.</x:v>
      </x:c>
      <x:c r="F15" s="20" t="str">
        <x:v>White House / U.S.–China Board of Trade recommendation</x:v>
      </x:c>
    </x:row>
    <x:row r="18">
      <x:c r="A18" s="163" t="str">
        <x:v>Event</x:v>
      </x:c>
      <x:c r="B18" s="163" t="str">
        <x:v>Date</x:v>
      </x:c>
      <x:c r="C18" s="163" t="str">
        <x:v>Marvel Legends MSRP</x:v>
      </x:c>
      <x:c r="D18" s="163" t="str">
        <x:v>MSRP Change</x:v>
      </x:c>
      <x:c r="E18" s="163" t="str">
        <x:v>Tariff Environment</x:v>
      </x:c>
      <x:c r="F18" s="163" t="str">
        <x:v>Inference</x:v>
      </x:c>
    </x:row>
    <x:row r="19">
      <x:c r="A19" s="20" t="str">
        <x:v>Pre-increase standard tier</x:v>
      </x:c>
      <x:c r="B19" s="20" t="str">
        <x:v>Before Sep. 2025</x:v>
      </x:c>
      <x:c r="C19" s="20" t="n">
        <x:v>24.99</x:v>
      </x:c>
      <x:c r="D19" s="20"/>
      <x:c r="E19" s="20" t="str">
        <x:v>China-origin toy duty proxy ~30% from May 14–Nov. 9, 2025</x:v>
      </x:c>
      <x:c r="F19" s="20" t="str">
        <x:v>Provides pre-change price level during tariff shock period.</x:v>
      </x:c>
    </x:row>
    <x:row r="20">
      <x:c r="A20" s="20" t="str">
        <x:v>New standard tier</x:v>
      </x:c>
      <x:c r="B20" s="20" t="str">
        <x:v>Sep. 2025</x:v>
      </x:c>
      <x:c r="C20" s="20" t="n">
        <x:v>27.99</x:v>
      </x:c>
      <x:c r="D20" s="23" t="n">
        <x:f>C20/C19-1</x:f>
        <x:v>0.12004801920768315</x:v>
      </x:c>
      <x:c r="E20" s="20" t="str">
        <x:v>Same ~30% additional-duty environment</x:v>
      </x:c>
      <x:c r="F20" s="20" t="str">
        <x:v>Timing overlaps with tariff pressure, but overlap alone does not establish causation.</x:v>
      </x:c>
    </x:row>
    <x:row r="21">
      <x:c r="A21" s="20" t="str">
        <x:v>Hasbro tariff planning</x:v>
      </x:c>
      <x:c r="B21" s="20" t="str">
        <x:v>Apr. 2025</x:v>
      </x:c>
      <x:c r="C21" s="20"/>
      <x:c r="D21" s="20"/>
      <x:c r="E21" s="20" t="str">
        <x:v>Hasbro modelled 50%–145% China tariff scenarios</x:v>
      </x:c>
      <x:c r="F21" s="20" t="str">
        <x:v>Management said targeted pricing actions were likely as part of tariff mitigation, before the Sep. MSRP increase.</x:v>
      </x:c>
    </x:row>
    <x:row r="24">
      <x:c r="A24" s="166" t="str">
        <x:v>Method Decision</x:v>
      </x:c>
      <x:c r="B24" s="166" t="str">
        <x:v>Use</x:v>
      </x:c>
      <x:c r="C24" s="166" t="str">
        <x:v>Do Not Do</x:v>
      </x:c>
      <x:c r="D24" s="166" t="str">
        <x:v>Reason</x:v>
      </x:c>
    </x:row>
    <x:row r="25">
      <x:c r="A25" s="20" t="str">
        <x:v>Headline tariff rates vs realized cost</x:v>
      </x:c>
      <x:c r="B25" s="20" t="str">
        <x:v>Use legal tariff timeline for timing and Hasbro's recognized tariff expense for magnitude.</x:v>
      </x:c>
      <x:c r="C25" s="20" t="str">
        <x:v>Do not multiply the 145% headline rate directly into Marvel Legends MSRP or production cost.</x:v>
      </x:c>
      <x:c r="D25" s="20" t="str">
        <x:v>Hasbro mitigated exposure through sourcing, timing, contracts, product mix, retailer coordination, and other actions.</x:v>
      </x:c>
    </x:row>
    <x:row r="26">
      <x:c r="A26" s="20" t="str">
        <x:v>Tariffs vs freight</x:v>
      </x:c>
      <x:c r="B26" s="20" t="str">
        <x:v>Keep as separate supply-side variables / mechanisms.</x:v>
      </x:c>
      <x:c r="C26" s="20" t="str">
        <x:v>Do not fold tariffs into ocean-freight cost.</x:v>
      </x:c>
      <x:c r="D26" s="20" t="str">
        <x:v>Freight is transportation; tariffs are policy-driven import duties.</x:v>
      </x:c>
    </x:row>
    <x:row r="27">
      <x:c r="A27" s="20" t="str">
        <x:v>Marvel Legends inference</x:v>
      </x:c>
      <x:c r="B27" s="20" t="str">
        <x:v>Use timing overlap and Hasbro management statements as supporting evidence.</x:v>
      </x:c>
      <x:c r="C27" s="20" t="str">
        <x:v>Do not claim the Sep. 2025 $3 MSRP increase was caused solely by tariffs.</x:v>
      </x:c>
      <x:c r="D27" s="20" t="str">
        <x:v>No product-line tariff accounting is publicly disclosed.</x:v>
      </x:c>
    </x:row>
  </x:sheetData>
  <x:mergeCells>
    <x:mergeCell ref="A1:L1"/>
    <x:mergeCell ref="A2:L2"/>
  </x:mergeCells>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22" hidden="0" customWidth="1"/>
    <x:col min="3" max="3" width="18" hidden="0" customWidth="1"/>
    <x:col min="4" max="4" width="20" hidden="0" customWidth="1"/>
    <x:col min="5" max="5" width="48" hidden="0" customWidth="1"/>
    <x:col min="6" max="6" width="24" hidden="0" customWidth="1"/>
    <x:col min="7" max="7" width="30" hidden="0" customWidth="1"/>
    <x:col min="8" max="8" width="30" hidden="0" customWidth="1"/>
    <x:col min="9" max="9" width="22" hidden="0" customWidth="1"/>
    <x:col min="10" max="10" width="28" hidden="0" customWidth="1"/>
    <x:col min="11" max="11" width="34" hidden="0" customWidth="1"/>
    <x:col min="12" max="12" width="42" hidden="0" customWidth="1"/>
  </x:cols>
  <x:sheetData>
    <x:row r="1">
      <x:c r="A1" s="171" t="str">
        <x:v>Demand-Side Context — Marvel Legends / U.S. Action-Figure Market</x:v>
      </x:c>
      <x:c r="B1" s="171"/>
      <x:c r="C1" s="171"/>
      <x:c r="D1" s="171"/>
      <x:c r="E1" s="171"/>
      <x:c r="F1" s="171"/>
      <x:c r="G1" s="171"/>
      <x:c r="H1" s="171"/>
      <x:c r="I1" s="171"/>
      <x:c r="J1" s="171"/>
      <x:c r="K1" s="171"/>
      <x:c r="L1" s="171"/>
    </x:row>
    <x:row r="2">
      <x:c r="A2" s="173" t="str">
        <x:v>Demand is measured conservatively. The core monthly proxy is U.S. Census retail sales for Hobby, Toy, and Game Stores, transformed to year-over-year growth to reduce seasonality. Circana action-figure dollar sales are used as category-specific context, not as a pure demand variable, because dollar sales combine quantity and price.</x:v>
      </x:c>
      <x:c r="B2" s="173"/>
      <x:c r="C2" s="173"/>
      <x:c r="D2" s="173"/>
      <x:c r="E2" s="173"/>
      <x:c r="F2" s="173"/>
      <x:c r="G2" s="173"/>
      <x:c r="H2" s="173"/>
      <x:c r="I2" s="173"/>
      <x:c r="J2" s="173"/>
      <x:c r="K2" s="173"/>
      <x:c r="L2" s="173"/>
    </x:row>
    <x:row r="4">
      <x:c r="A4" s="176" t="str">
        <x:v>Year</x:v>
      </x:c>
      <x:c r="B4" s="176" t="str">
        <x:v>U.S. Action Figures &amp; Accessories Sales ($bn)</x:v>
      </x:c>
      <x:c r="C4" s="176" t="str">
        <x:v>YoY Change</x:v>
      </x:c>
      <x:c r="D4" s="176" t="str">
        <x:v>Marvel Legends Standard MSRP</x:v>
      </x:c>
      <x:c r="E4" s="176" t="str">
        <x:v>Interpretation</x:v>
      </x:c>
      <x:c r="F4" s="176" t="str">
        <x:v>Use Class</x:v>
      </x:c>
      <x:c r="H4" s="179" t="str">
        <x:v>Demand Proxy</x:v>
      </x:c>
      <x:c r="I4" s="179" t="str">
        <x:v>Coverage</x:v>
      </x:c>
      <x:c r="J4" s="179" t="str">
        <x:v>Transformation</x:v>
      </x:c>
      <x:c r="K4" s="179" t="str">
        <x:v>Use</x:v>
      </x:c>
      <x:c r="L4" s="179" t="str">
        <x:v>Important Limitation</x:v>
      </x:c>
    </x:row>
    <x:row r="5">
      <x:c r="A5" s="20" t="n">
        <x:v>2019</x:v>
      </x:c>
      <x:c r="B5" s="40" t="n">
        <x:v>1.8</x:v>
      </x:c>
      <x:c r="C5" s="23"/>
      <x:c r="D5" s="28" t="n">
        <x:v>19.99</x:v>
      </x:c>
      <x:c r="E5" s="20" t="str">
        <x:v>Pre-pandemic category baseline.</x:v>
      </x:c>
      <x:c r="F5" s="20" t="str">
        <x:v>Demand context only</x:v>
      </x:c>
      <x:c r="H5" s="20" t="str">
        <x:v>U.S. Hobby, Toy &amp; Game Store Retail Sales</x:v>
      </x:c>
      <x:c r="I5" s="20" t="str">
        <x:v>Monthly Jan 2019–Jul 2026</x:v>
      </x:c>
      <x:c r="J5" s="20" t="str">
        <x:v>Year-over-year % change from Census/FRED monthly dollar sales</x:v>
      </x:c>
      <x:c r="K5" s="20" t="str">
        <x:v>Candidate monthly demand-side control / robustness variable</x:v>
      </x:c>
      <x:c r="L5" s="20" t="str">
        <x:v>Includes games/hobbies beyond action figures and captures price as well as quantity.</x:v>
      </x:c>
    </x:row>
    <x:row r="6">
      <x:c r="A6" s="20" t="n">
        <x:v>2020</x:v>
      </x:c>
      <x:c r="B6" s="40" t="n">
        <x:v>1.8</x:v>
      </x:c>
      <x:c r="C6" s="23" t="n">
        <x:f>B6/B5-1</x:f>
        <x:v>0</x:v>
      </x:c>
      <x:c r="D6" s="28" t="n">
        <x:v>19.99</x:v>
      </x:c>
      <x:c r="E6" s="20" t="str">
        <x:v>Dollar sales roughly flat despite major retail disruption.</x:v>
      </x:c>
      <x:c r="F6" s="20" t="str">
        <x:v>Demand context only</x:v>
      </x:c>
      <x:c r="H6" s="20" t="str">
        <x:v>Action Figures &amp; Accessories retail dollar sales</x:v>
      </x:c>
      <x:c r="I6" s="20" t="str">
        <x:v>Annual 2019–2025</x:v>
      </x:c>
      <x:c r="J6" s="20" t="str">
        <x:v>Raw Circana category dollars; annual YoY shown</x:v>
      </x:c>
      <x:c r="K6" s="20" t="str">
        <x:v>Category-specific descriptive demand context</x:v>
      </x:c>
      <x:c r="L6" s="20" t="str">
        <x:v>Not pure demand: higher MSRP/ASP itself raises dollar sales.</x:v>
      </x:c>
    </x:row>
    <x:row r="7">
      <x:c r="A7" s="20" t="n">
        <x:v>2021</x:v>
      </x:c>
      <x:c r="B7" s="40" t="n">
        <x:v>2.3</x:v>
      </x:c>
      <x:c r="C7" s="23" t="n">
        <x:f>B7/B6-1</x:f>
        <x:v>0.2777777777777777</x:v>
      </x:c>
      <x:c r="D7" s="28" t="n">
        <x:v>22.99</x:v>
      </x:c>
      <x:c r="E7" s="20" t="str">
        <x:v>Large category expansion during pandemic-era collecting/toy demand.</x:v>
      </x:c>
      <x:c r="F7" s="20" t="str">
        <x:v>Demand context only</x:v>
      </x:c>
      <x:c r="H7" s="20" t="str">
        <x:v>Hasbro action-figure POS/share evidence</x:v>
      </x:c>
      <x:c r="I7" s="20" t="str">
        <x:v>Selected 2023–2026 observations</x:v>
      </x:c>
      <x:c r="J7" s="20" t="str">
        <x:v>Circana retail POS/share reported in Hasbro presentations</x:v>
      </x:c>
      <x:c r="K7" s="20" t="str">
        <x:v>Company-specific demand validation</x:v>
      </x:c>
      <x:c r="L7" s="20" t="str">
        <x:v>Geographic coverage and periods differ; cannot create a clean continuous Hasbro series.</x:v>
      </x:c>
    </x:row>
    <x:row r="8">
      <x:c r="A8" s="20" t="n">
        <x:v>2022</x:v>
      </x:c>
      <x:c r="B8" s="40" t="n">
        <x:v>2.4</x:v>
      </x:c>
      <x:c r="C8" s="23" t="n">
        <x:f>B8/B7-1</x:f>
        <x:v>0.04347826086956519</x:v>
      </x:c>
      <x:c r="D8" s="28" t="n">
        <x:v>24.99</x:v>
      </x:c>
      <x:c r="E8" s="20" t="str">
        <x:v>Study-period category dollar-sales peak.</x:v>
      </x:c>
      <x:c r="F8" s="20" t="str">
        <x:v>Demand context only</x:v>
      </x:c>
    </x:row>
    <x:row r="9">
      <x:c r="A9" s="20" t="n">
        <x:v>2023</x:v>
      </x:c>
      <x:c r="B9" s="40" t="n">
        <x:v>2.2</x:v>
      </x:c>
      <x:c r="C9" s="23" t="n">
        <x:f>B9/B8-1</x:f>
        <x:v>-0.08333333333333326</x:v>
      </x:c>
      <x:c r="D9" s="28" t="n">
        <x:v>24.99</x:v>
      </x:c>
      <x:c r="E9" s="20" t="str">
        <x:v>Category dollar sales declined as discretionary spending weakened.</x:v>
      </x:c>
      <x:c r="F9" s="20" t="str">
        <x:v>Demand context only</x:v>
      </x:c>
    </x:row>
    <x:row r="10">
      <x:c r="A10" s="20" t="n">
        <x:v>2024</x:v>
      </x:c>
      <x:c r="B10" s="40" t="n">
        <x:v>2</x:v>
      </x:c>
      <x:c r="C10" s="23" t="n">
        <x:f>B10/B9-1</x:f>
        <x:v>-0.09090909090909094</x:v>
      </x:c>
      <x:c r="D10" s="28" t="n">
        <x:v>24.99</x:v>
      </x:c>
      <x:c r="E10" s="20" t="str">
        <x:v>Further decline; demand environment did not simply rise with MSRP.</x:v>
      </x:c>
      <x:c r="F10" s="20" t="str">
        <x:v>Demand context only</x:v>
      </x:c>
    </x:row>
    <x:row r="11">
      <x:c r="A11" s="20" t="n">
        <x:v>2025</x:v>
      </x:c>
      <x:c r="B11" s="40" t="n">
        <x:v>2.1</x:v>
      </x:c>
      <x:c r="C11" s="23" t="n">
        <x:f>B11/B10-1</x:f>
        <x:v>0.050000000000000044</x:v>
      </x:c>
      <x:c r="D11" s="28" t="n">
        <x:v>27.99</x:v>
      </x:c>
      <x:c r="E11" s="20" t="str">
        <x:v>Category recovered 6% while standard Marvel Legends MSRP rose to $27.99.</x:v>
      </x:c>
      <x:c r="F11" s="20" t="str">
        <x:v>Demand context only</x:v>
      </x:c>
    </x:row>
    <x:row r="14">
      <x:c r="A14" s="182" t="str">
        <x:v>Period</x:v>
      </x:c>
      <x:c r="B14" s="182" t="str">
        <x:v>Evidence</x:v>
      </x:c>
      <x:c r="C14" s="182" t="str">
        <x:v>Dollar Growth</x:v>
      </x:c>
      <x:c r="D14" s="182" t="str">
        <x:v>Unit Growth</x:v>
      </x:c>
      <x:c r="E14" s="182" t="str">
        <x:v>ASP Growth</x:v>
      </x:c>
      <x:c r="F14" s="182" t="str">
        <x:v>Why It Matters</x:v>
      </x:c>
      <x:c r="G14" s="182" t="str">
        <x:v>Source Scope</x:v>
      </x:c>
    </x:row>
    <x:row r="15">
      <x:c r="A15" s="20" t="str">
        <x:v>2022 full year</x:v>
      </x:c>
      <x:c r="B15" s="20" t="str">
        <x:v>Total U.S. toy market</x:v>
      </x:c>
      <x:c r="C15" s="23" t="n">
        <x:v>-0.002</x:v>
      </x:c>
      <x:c r="D15" s="23" t="n">
        <x:v>-0.04</x:v>
      </x:c>
      <x:c r="E15" s="23" t="n">
        <x:v>0.03</x:v>
      </x:c>
      <x:c r="F15" s="20" t="str">
        <x:v>Dollar sales were flat while units fell, showing price can mask weaker unit demand.</x:v>
      </x:c>
      <x:c r="G15" s="20" t="str">
        <x:v>NPD/Circana U.S. total toys</x:v>
      </x:c>
    </x:row>
    <x:row r="16">
      <x:c r="A16" s="20" t="str">
        <x:v>2023</x:v>
      </x:c>
      <x:c r="B16" s="20" t="str">
        <x:v>U.S. toy market / Q4 unit evidence</x:v>
      </x:c>
      <x:c r="C16" s="23" t="n">
        <x:v>-0.08</x:v>
      </x:c>
      <x:c r="D16" s="23"/>
      <x:c r="E16" s="23"/>
      <x:c r="F16" s="20" t="str">
        <x:v>Broad discretionary toy spending weakened; Circana attributed declines to inflation, depleted savings and consumer debt.</x:v>
      </x:c>
      <x:c r="G16" s="20" t="str">
        <x:v>Circana U.S. total toys</x:v>
      </x:c>
    </x:row>
    <x:row r="17">
      <x:c r="A17" s="20" t="str">
        <x:v>2024</x:v>
      </x:c>
      <x:c r="B17" s="20" t="str">
        <x:v>U.S. toy market</x:v>
      </x:c>
      <x:c r="C17" s="23" t="n">
        <x:v>-0.003</x:v>
      </x:c>
      <x:c r="D17" s="23"/>
      <x:c r="E17" s="23" t="n">
        <x:v>-0.002</x:v>
      </x:c>
      <x:c r="F17" s="20" t="str">
        <x:v>Market stabilized; adult buyers and collectibles helped offset broader weakness.</x:v>
      </x:c>
      <x:c r="G17" s="20" t="str">
        <x:v>Circana U.S. total toys</x:v>
      </x:c>
    </x:row>
    <x:row r="18">
      <x:c r="A18" s="20" t="str">
        <x:v>2025 full year</x:v>
      </x:c>
      <x:c r="B18" s="20" t="str">
        <x:v>U.S. toy market</x:v>
      </x:c>
      <x:c r="C18" s="23" t="n">
        <x:v>0.06</x:v>
      </x:c>
      <x:c r="D18" s="23" t="n">
        <x:v>0.03</x:v>
      </x:c>
      <x:c r="E18" s="23" t="n">
        <x:v>0.04</x:v>
      </x:c>
      <x:c r="F18" s="20" t="str">
        <x:v>True unit growth returned alongside price growth; licensed/collectible demand strengthened.</x:v>
      </x:c>
      <x:c r="G18" s="20" t="str">
        <x:v>Circana U.S. total toys</x:v>
      </x:c>
    </x:row>
    <x:row r="19">
      <x:c r="A19" s="20" t="str">
        <x:v>Jan–Apr 2026</x:v>
      </x:c>
      <x:c r="B19" s="20" t="str">
        <x:v>U.S. toy market</x:v>
      </x:c>
      <x:c r="C19" s="23" t="n">
        <x:v>0.13</x:v>
      </x:c>
      <x:c r="D19" s="23" t="n">
        <x:v>0.05</x:v>
      </x:c>
      <x:c r="E19" s="23" t="n">
        <x:v>0.07</x:v>
      </x:c>
      <x:c r="F19" s="20" t="str">
        <x:v>Strong current demand: units and prices both rising; adults accounted for 35% of total industry growth.</x:v>
      </x:c>
      <x:c r="G19" s="20" t="str">
        <x:v>Circana U.S. total toys</x:v>
      </x:c>
    </x:row>
    <x:row r="22">
      <x:c r="A22" s="185" t="str">
        <x:v>Observation</x:v>
      </x:c>
      <x:c r="B22" s="185" t="str">
        <x:v>Period</x:v>
      </x:c>
      <x:c r="C22" s="185" t="str">
        <x:v>Hasbro Action-Figure Share / Growth</x:v>
      </x:c>
      <x:c r="D22" s="185" t="str">
        <x:v>Marvel/Brand Signal</x:v>
      </x:c>
      <x:c r="E22" s="185" t="str">
        <x:v>Geography</x:v>
      </x:c>
      <x:c r="F22" s="185" t="str">
        <x:v>Use</x:v>
      </x:c>
      <x:c r="G22" s="185" t="str">
        <x:v>Caution</x:v>
      </x:c>
    </x:row>
    <x:row r="23">
      <x:c r="A23" s="20" t="str">
        <x:v>Hasbro Action Figures &amp; Accessories share</x:v>
      </x:c>
      <x:c r="B23" s="20" t="str">
        <x:v>Q3 2023</x:v>
      </x:c>
      <x:c r="C23" s="20" t="str">
        <x:v>24.7% share; +2.1 pts</x:v>
      </x:c>
      <x:c r="D23" s="20" t="str">
        <x:v>Transformers revenue/POS growth noted</x:v>
      </x:c>
      <x:c r="E23" s="20" t="str">
        <x:v>Circana G10</x:v>
      </x:c>
      <x:c r="F23" s="20" t="str">
        <x:v>Shows Hasbro was #1 in category</x:v>
      </x:c>
      <x:c r="G23" s="20" t="str">
        <x:v>Quarter-specific; not U.S.-only.</x:v>
      </x:c>
    </x:row>
    <x:row r="24">
      <x:c r="A24" s="20" t="str">
        <x:v>Hasbro Action Figures &amp; Accessories share</x:v>
      </x:c>
      <x:c r="B24" s="20" t="str">
        <x:v>Q3 2024</x:v>
      </x:c>
      <x:c r="C24" s="20" t="str">
        <x:v>25.2% share; -1.6 pts</x:v>
      </x:c>
      <x:c r="D24" s="20" t="str">
        <x:v>Marvel Classic and Spidey POS increases noted</x:v>
      </x:c>
      <x:c r="E24" s="20" t="str">
        <x:v>Circana G10</x:v>
      </x:c>
      <x:c r="F24" s="20" t="str">
        <x:v>Company-specific action-figure demand check</x:v>
      </x:c>
      <x:c r="G24" s="20" t="str">
        <x:v>Quarter-specific; not directly comparable to FY 2025 geography.</x:v>
      </x:c>
    </x:row>
    <x:row r="25">
      <x:c r="A25" s="20" t="str">
        <x:v>Hasbro Action Figures &amp; Accessories share</x:v>
      </x:c>
      <x:c r="B25" s="20" t="str">
        <x:v>FY 2025</x:v>
      </x:c>
      <x:c r="C25" s="20" t="str">
        <x:v>23.3% share; +0.2 pts</x:v>
      </x:c>
      <x:c r="D25" s="20" t="str">
        <x:v>Marvel listed among FY POS-growth brands</x:v>
      </x:c>
      <x:c r="E25" s="20" t="str">
        <x:v>Circana G10</x:v>
      </x:c>
      <x:c r="F25" s="20" t="str">
        <x:v>Best full-year recent Hasbro category-share evidence</x:v>
      </x:c>
      <x:c r="G25" s="20" t="str">
        <x:v>Still includes all Hasbro action-figure brands, not Marvel Legends.</x:v>
      </x:c>
    </x:row>
    <x:row r="26">
      <x:c r="A26" s="20" t="str">
        <x:v>Hasbro Action Figures &amp; Accessories POS</x:v>
      </x:c>
      <x:c r="B26" s="20" t="str">
        <x:v>Q1 2026</x:v>
      </x:c>
      <x:c r="C26" s="20" t="str">
        <x:v>+12.8% POS growth; +0.7 share pts</x:v>
      </x:c>
      <x:c r="D26" s="20" t="str">
        <x:v>Marvel listed among Q1 POS-growth brands</x:v>
      </x:c>
      <x:c r="E26" s="20" t="str">
        <x:v>Circana G7</x:v>
      </x:c>
      <x:c r="F26" s="20" t="str">
        <x:v>Shows continued action-figure/Marvel retail momentum in 2026</x:v>
      </x:c>
      <x:c r="G26" s="20" t="str">
        <x:v>G7 differs from prior G10 coverage; no absolute share on slide.</x:v>
      </x:c>
    </x:row>
    <x:row r="29">
      <x:c r="A29" s="188" t="str">
        <x:v>Decision</x:v>
      </x:c>
      <x:c r="B29" s="188" t="str">
        <x:v>What We Will Do</x:v>
      </x:c>
      <x:c r="C29" s="188" t="str">
        <x:v>What We Will Not Do</x:v>
      </x:c>
      <x:c r="D29" s="188" t="str">
        <x:v>Reason</x:v>
      </x:c>
    </x:row>
    <x:row r="30">
      <x:c r="A30" s="20" t="str">
        <x:v>Monthly demand control</x:v>
      </x:c>
      <x:c r="B30" s="20" t="str">
        <x:v>Retain year-over-year U.S. Hobby/Toy/Game retail-sales growth as a candidate demand robustness control.</x:v>
      </x:c>
      <x:c r="C30" s="20" t="str">
        <x:v>Do not treat raw seasonal monthly retail dollars as a clean demand series.</x:v>
      </x:c>
      <x:c r="D30" s="20" t="str">
        <x:v>YoY transformation reduces extreme holiday seasonality.</x:v>
      </x:c>
    </x:row>
    <x:row r="31">
      <x:c r="A31" s="20" t="str">
        <x:v>Action-figure category sales</x:v>
      </x:c>
      <x:c r="B31" s="20" t="str">
        <x:v>Use annual Circana Action Figures &amp; Accessories sales to describe category strength/weakness.</x:v>
      </x:c>
      <x:c r="C31" s="20" t="str">
        <x:v>Do not use retail dollar sales alone as proof that quantity demanded rose.</x:v>
      </x:c>
      <x:c r="D31" s="20" t="str">
        <x:v>Dollar sales equal price × quantity and are partly affected by the price increases we are explaining.</x:v>
      </x:c>
    </x:row>
    <x:row r="32">
      <x:c r="A32" s="20" t="str">
        <x:v>Adult / collector demand</x:v>
      </x:c>
      <x:c r="B32" s="20" t="str">
        <x:v>Use Circana evidence on adult buyers, collectibles and licensed products as contextual demand evidence.</x:v>
      </x:c>
      <x:c r="C32" s="20" t="str">
        <x:v>Do not invent a Marvel Legends adult-buyer percentage.</x:v>
      </x:c>
      <x:c r="D32" s="20" t="str">
        <x:v>It explains why collector-oriented action figures may have demand support without giving line-specific quantities.</x:v>
      </x:c>
    </x:row>
    <x:row r="33">
      <x:c r="A33" s="20" t="str">
        <x:v>Hasbro POS evidence</x:v>
      </x:c>
      <x:c r="B33" s="20" t="str">
        <x:v>Use Hasbro/Circana action-figure share and Marvel POS comments as validation.</x:v>
      </x:c>
      <x:c r="C33" s="20" t="str">
        <x:v>Do not splice G7/G10 quarterly observations into a fake continuous time series.</x:v>
      </x:c>
      <x:c r="D33" s="20" t="str">
        <x:v>Geography and measurement windows change across Hasbro presentations.</x:v>
      </x:c>
    </x:row>
  </x:sheetData>
  <x:mergeCells>
    <x:mergeCell ref="A1:L1"/>
    <x:mergeCell ref="A2:L2"/>
  </x:mergeCells>
  <x:pageMargins left="0.7" right="0.7" top="0.75" bottom="0.75" header="0.3" footer="0.3"/>
  <x:drawing xmlns:r="http://schemas.openxmlformats.org/officeDocument/2006/relationships" r:id="Rc55bdb7b79f74f22"/>
</x:worksheet>
</file>

<file path=xl/worksheets/sheet18.xml><?xml version="1.0" encoding="utf-8"?>
<x:worksheet xmlns:x="http://schemas.openxmlformats.org/spreadsheetml/2006/main">
  <x:sheetFormatPr defaultRowHeight="15"/>
  <x:cols>
    <x:col min="1" max="1" width="18" hidden="0" customWidth="1"/>
    <x:col min="2" max="2" width="25" hidden="0" customWidth="1"/>
    <x:col min="3" max="3" width="21" hidden="0" customWidth="1"/>
    <x:col min="4" max="4" width="23" hidden="0" customWidth="1"/>
    <x:col min="5" max="5" width="23" hidden="0" customWidth="1"/>
    <x:col min="6" max="6" width="23" hidden="0" customWidth="1"/>
    <x:col min="7" max="7" width="23" hidden="0" customWidth="1"/>
    <x:col min="8" max="8" width="3" hidden="0" customWidth="1"/>
  </x:cols>
  <x:sheetData>
    <x:row r="1">
      <x:c r="A1" s="192" t="str">
        <x:v>USD/CNY Exchange Rate — Effect on China Manufacturing-Wage Pressure</x:v>
      </x:c>
      <x:c r="B1" s="192"/>
      <x:c r="C1" s="192"/>
      <x:c r="D1" s="192"/>
      <x:c r="E1" s="192"/>
      <x:c r="F1" s="192"/>
      <x:c r="G1" s="192"/>
      <x:c r="H1" s="192"/>
    </x:row>
    <x:row r="2">
      <x:c r="A2" s="194" t="str">
        <x:v>EXCHUS is Chinese yuan per U.S. dollar. A higher number means the yuan is weaker against the dollar, which can offset some local-currency wage inflation for a U.S.-dollar buyer. This is a sensitivity calculation, not Hasbro's actual contracted labor cost or hedging result.</x:v>
      </x:c>
      <x:c r="B2" s="194"/>
      <x:c r="C2" s="194"/>
      <x:c r="D2" s="194"/>
      <x:c r="E2" s="194"/>
      <x:c r="F2" s="194"/>
      <x:c r="G2" s="194"/>
      <x:c r="H2" s="194"/>
    </x:row>
    <x:row r="4">
      <x:c r="A4" s="197" t="str">
        <x:v>Year</x:v>
      </x:c>
      <x:c r="B4" s="197" t="str">
        <x:v>China Manufacturing Wage (yuan)</x:v>
      </x:c>
      <x:c r="C4" s="197" t="str">
        <x:v>Annual Avg CNY per USD</x:v>
      </x:c>
      <x:c r="D4" s="197" t="str">
        <x:v>Wage Converted to USD</x:v>
      </x:c>
      <x:c r="E4" s="197" t="str">
        <x:v>Local Wage Change vs 2019</x:v>
      </x:c>
      <x:c r="F4" s="197" t="str">
        <x:v>USD-Converted Change vs 2019</x:v>
      </x:c>
      <x:c r="G4" s="197" t="str">
        <x:v>FX Offset / Amplification</x:v>
      </x:c>
    </x:row>
    <x:row r="5">
      <x:c r="A5" s="20" t="n">
        <x:v>2019</x:v>
      </x:c>
      <x:c r="B5" s="64" t="n">
        <x:v>52858</x:v>
      </x:c>
      <x:c r="C5" s="33" t="n">
        <x:v>6.907033333333334</x:v>
      </x:c>
      <x:c r="D5" s="138" t="n">
        <x:v>7652.779051305191</x:v>
      </x:c>
      <x:c r="E5" s="23" t="n">
        <x:v>0</x:v>
      </x:c>
      <x:c r="F5" s="23" t="n">
        <x:v>0</x:v>
      </x:c>
      <x:c r="G5" s="23" t="n">
        <x:v>0</x:v>
      </x:c>
    </x:row>
    <x:row r="6">
      <x:c r="A6" s="20" t="n">
        <x:v>2020</x:v>
      </x:c>
      <x:c r="B6" s="64" t="n">
        <x:v>57910</x:v>
      </x:c>
      <x:c r="C6" s="33" t="n">
        <x:v>6.899908333333333</x:v>
      </x:c>
      <x:c r="D6" s="138" t="n">
        <x:v>8392.865122604286</x:v>
      </x:c>
      <x:c r="E6" s="23" t="n">
        <x:v>0.09557682848386251</x:v>
      </x:c>
      <x:c r="F6" s="23" t="n">
        <x:v>0.09670814567328612</x:v>
      </x:c>
      <x:c r="G6" s="23" t="n">
        <x:v>0.0011313171894236085</x:v>
      </x:c>
    </x:row>
    <x:row r="7">
      <x:c r="A7" s="20" t="n">
        <x:v>2021</x:v>
      </x:c>
      <x:c r="B7" s="64" t="n">
        <x:v>63946</x:v>
      </x:c>
      <x:c r="C7" s="33" t="n">
        <x:v>6.449891666666667</x:v>
      </x:c>
      <x:c r="D7" s="138" t="n">
        <x:v>9914.275045963304</x:v>
      </x:c>
      <x:c r="E7" s="23" t="n">
        <x:v>0.20976957130424911</x:v>
      </x:c>
      <x:c r="F7" s="23" t="n">
        <x:v>0.2955130390537555</x:v>
      </x:c>
      <x:c r="G7" s="23" t="n">
        <x:v>0.08574346774950636</x:v>
      </x:c>
    </x:row>
    <x:row r="8">
      <x:c r="A8" s="20" t="n">
        <x:v>2022</x:v>
      </x:c>
      <x:c r="B8" s="64" t="n">
        <x:v>67352</x:v>
      </x:c>
      <x:c r="C8" s="33" t="n">
        <x:v>6.730625</x:v>
      </x:c>
      <x:c r="D8" s="138" t="n">
        <x:v>10006.797288513326</x:v>
      </x:c>
      <x:c r="E8" s="23" t="n">
        <x:v>0.27420636422112077</x:v>
      </x:c>
      <x:c r="F8" s="23" t="n">
        <x:v>0.3076030578468947</x:v>
      </x:c>
      <x:c r="G8" s="23" t="n">
        <x:v>0.03339669362577391</x:v>
      </x:c>
    </x:row>
    <x:row r="9">
      <x:c r="A9" s="20" t="n">
        <x:v>2023</x:v>
      </x:c>
      <x:c r="B9" s="64" t="n">
        <x:v>71762</x:v>
      </x:c>
      <x:c r="C9" s="33" t="n">
        <x:v>7.0797</x:v>
      </x:c>
      <x:c r="D9" s="138" t="n">
        <x:v>10136.305210672768</x:v>
      </x:c>
      <x:c r="E9" s="23" t="n">
        <x:v>0.357637443717129</x:v>
      </x:c>
      <x:c r="F9" s="23" t="n">
        <x:v>0.32452605030377923</x:v>
      </x:c>
      <x:c r="G9" s="23" t="n">
        <x:v>-0.03311139341334979</x:v>
      </x:c>
    </x:row>
    <x:row r="10">
      <x:c r="A10" s="20" t="n">
        <x:v>2024</x:v>
      </x:c>
      <x:c r="B10" s="64" t="n">
        <x:v>71467</x:v>
      </x:c>
      <x:c r="C10" s="33" t="n">
        <x:v>7.195833333333333</x:v>
      </x:c>
      <x:c r="D10" s="138" t="n">
        <x:v>9931.71974522293</x:v>
      </x:c>
      <x:c r="E10" s="23" t="n">
        <x:v>0.3520564531385977</x:v>
      </x:c>
      <x:c r="F10" s="23" t="n">
        <x:v>0.2977925638045258</x:v>
      </x:c>
      <x:c r="G10" s="23" t="n">
        <x:v>-0.05426388933407189</x:v>
      </x:c>
    </x:row>
    <x:row r="11">
      <x:c r="A11" s="20" t="n">
        <x:v>2025</x:v>
      </x:c>
      <x:c r="B11" s="64" t="n">
        <x:v>76055</x:v>
      </x:c>
      <x:c r="C11" s="33" t="n">
        <x:v>7.187716666666667</x:v>
      </x:c>
      <x:c r="D11" s="138" t="n">
        <x:v>10581.24624648996</x:v>
      </x:c>
      <x:c r="E11" s="23" t="n">
        <x:v>0.43885504559385513</x:v>
      </x:c>
      <x:c r="F11" s="23" t="n">
        <x:v>0.38266715601639056</x:v>
      </x:c>
      <x:c r="G11" s="23" t="n">
        <x:v>-0.05618788957746457</x:v>
      </x:c>
    </x:row>
    <x:row r="14">
      <x:c r="A14" s="201" t="str">
        <x:v>Key Finding</x:v>
      </x:c>
      <x:c r="B14" s="201" t="str">
        <x:v>Value</x:v>
      </x:c>
      <x:c r="C14" s="201" t="str">
        <x:v>Meaning</x:v>
      </x:c>
      <x:c r="D14" s="201" t="str">
        <x:v>Model Decision</x:v>
      </x:c>
    </x:row>
    <x:row r="15">
      <x:c r="A15" s="20" t="str">
        <x:v>2019 avg CNY/USD</x:v>
      </x:c>
      <x:c r="B15" s="33" t="n">
        <x:v>6.907033333333334</x:v>
      </x:c>
      <x:c r="C15" s="20" t="str">
        <x:v>Baseline exchange rate for China wage conversion.</x:v>
      </x:c>
      <x:c r="D15" s="20" t="str">
        <x:v>Use exchange rate as a sensitivity/control, not a direct production-cost percentage.</x:v>
      </x:c>
    </x:row>
    <x:row r="16">
      <x:c r="A16" s="20" t="str">
        <x:v>2025 avg CNY/USD</x:v>
      </x:c>
      <x:c r="B16" s="33" t="n">
        <x:v>7.187716666666667</x:v>
      </x:c>
      <x:c r="C16" s="20" t="str">
        <x:v>Yuan was weaker versus USD than in 2019.</x:v>
      </x:c>
      <x:c r="D16" s="20" t="str">
        <x:v>A weaker yuan offsets part of local-currency wage growth for a dollar buyer.</x:v>
      </x:c>
    </x:row>
    <x:row r="17">
      <x:c r="A17" s="20" t="str">
        <x:v>2019→2025 China wage growth (yuan)</x:v>
      </x:c>
      <x:c r="B17" s="23" t="n">
        <x:v>0.43885504559385513</x:v>
      </x:c>
      <x:c r="C17" s="20" t="str">
        <x:v>Nominal local manufacturing wage pressure.</x:v>
      </x:c>
      <x:c r="D17" s="20" t="str">
        <x:v>Keep as primary China labor-pressure series.</x:v>
      </x:c>
    </x:row>
    <x:row r="18">
      <x:c r="A18" s="20" t="str">
        <x:v>2019→2025 wage growth after FX conversion</x:v>
      </x:c>
      <x:c r="B18" s="23" t="n">
        <x:v>0.38266715601639056</x:v>
      </x:c>
      <x:c r="C18" s="20" t="str">
        <x:v>Approximate dollar-equivalent wage-pressure change before supplier contracts, hedging, productivity, or sourcing shifts.</x:v>
      </x:c>
      <x:c r="D18" s="20" t="str">
        <x:v>Use only as a sensitivity check; do not label as Hasbro's realized labor increase.</x:v>
      </x:c>
    </x:row>
    <x:row r="21">
      <x:c r="A21" s="204" t="str">
        <x:v>Decision</x:v>
      </x:c>
      <x:c r="B21" s="204" t="str">
        <x:v>Use</x:v>
      </x:c>
      <x:c r="C21" s="204" t="str">
        <x:v>Do Not Do</x:v>
      </x:c>
      <x:c r="D21" s="204" t="str">
        <x:v>Reason</x:v>
      </x:c>
    </x:row>
    <x:row r="22">
      <x:c r="A22" s="20" t="str">
        <x:v>China labor pressure</x:v>
      </x:c>
      <x:c r="B22" s="20" t="str">
        <x:v>Retain nominal local manufacturing wage growth as the primary labor-pressure signal.</x:v>
      </x:c>
      <x:c r="C22" s="20" t="str">
        <x:v>Do not assume the full yuan wage increase passed through to Hasbro in dollars.</x:v>
      </x:c>
      <x:c r="D22" s="20" t="str">
        <x:v>Supplier contracts and sourcing occur locally, but Hasbro reports in USD and exchange rates can offset or amplify exposure.</x:v>
      </x:c>
    </x:row>
    <x:row r="23">
      <x:c r="A23" s="20" t="str">
        <x:v>FX sensitivity</x:v>
      </x:c>
      <x:c r="B23" s="20" t="str">
        <x:v>Show the USD-converted China wage series as a robustness/sensitivity check.</x:v>
      </x:c>
      <x:c r="C23" s="20" t="str">
        <x:v>Do not substitute it for the official wage series or treat it as Hasbro's invoice rate.</x:v>
      </x:c>
      <x:c r="D23" s="20" t="str">
        <x:v>It isolates the mechanical currency effect without pretending to capture hedging, contracts or productivity.</x:v>
      </x:c>
    </x:row>
    <x:row r="24">
      <x:c r="A24" s="20" t="str">
        <x:v>Regression role</x:v>
      </x:c>
      <x:c r="B24" s="20" t="str">
        <x:v>Keep USD/CNY available as a control/sensitivity variable.</x:v>
      </x:c>
      <x:c r="C24" s="20" t="str">
        <x:v>Do not automatically include it alongside every China-linked input if multicollinearity makes interpretation worse.</x:v>
      </x:c>
      <x:c r="D24" s="20" t="str">
        <x:v>FX is an exposure modifier, not a physical production input.</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24" hidden="0" customWidth="1"/>
    <x:col min="3" max="3" width="24" hidden="0" customWidth="1"/>
    <x:col min="4" max="4" width="27" hidden="0" customWidth="1"/>
    <x:col min="5" max="5" width="43" hidden="0" customWidth="1"/>
    <x:col min="6" max="6" width="32" hidden="0" customWidth="1"/>
    <x:col min="7" max="7" width="45" hidden="0" customWidth="1"/>
    <x:col min="8" max="8" width="3" hidden="0" customWidth="1"/>
    <x:col min="9" max="9" width="3" hidden="0" customWidth="1"/>
    <x:col min="10" max="10" width="3" hidden="0" customWidth="1"/>
  </x:cols>
  <x:sheetData>
    <x:row r="1">
      <x:c r="A1" s="209" t="str">
        <x:v>Labor-Cost Pressure Sensitivity — 2019 to Latest Available Wage Data</x:v>
      </x:c>
      <x:c r="B1" s="209"/>
      <x:c r="C1" s="209"/>
      <x:c r="D1" s="209"/>
      <x:c r="E1" s="209"/>
      <x:c r="F1" s="209"/>
      <x:c r="G1" s="209"/>
      <x:c r="H1" s="209"/>
      <x:c r="I1" s="209"/>
      <x:c r="J1" s="209"/>
    </x:row>
    <x:row r="2">
      <x:c r="A2" s="211" t="str">
        <x:v>This sheet deliberately estimates a range rather than an exact Marvel Legends labor-cost increase. Country wage series differ in coverage and end dates, Hasbro does not disclose Marvel Legends factory-country weights, and historical Hasbro labor shares are company-wide. Results are sensitivity anchors only.</x:v>
      </x:c>
      <x:c r="B2" s="211"/>
      <x:c r="C2" s="211"/>
      <x:c r="D2" s="211"/>
      <x:c r="E2" s="211"/>
      <x:c r="F2" s="211"/>
      <x:c r="G2" s="211"/>
      <x:c r="H2" s="211"/>
      <x:c r="I2" s="211"/>
      <x:c r="J2" s="211"/>
    </x:row>
    <x:row r="4">
      <x:c r="A4" s="214" t="str">
        <x:v>Input</x:v>
      </x:c>
      <x:c r="B4" s="214" t="str">
        <x:v>Value</x:v>
      </x:c>
      <x:c r="C4" s="214" t="str">
        <x:v>Coverage / Basis</x:v>
      </x:c>
      <x:c r="D4" s="214" t="str">
        <x:v>Role</x:v>
      </x:c>
      <x:c r="E4" s="214" t="str">
        <x:v>Source / Link</x:v>
      </x:c>
    </x:row>
    <x:row r="5">
      <x:c r="A5" s="20" t="str">
        <x:v>China wage growth, local currency</x:v>
      </x:c>
      <x:c r="B5" s="23" t="n">
        <x:f>'Multinational Labor'!D13</x:f>
        <x:v>0.43885504559385513</x:v>
      </x:c>
      <x:c r="C5" s="20" t="str">
        <x:v>2019–2025</x:v>
      </x:c>
      <x:c r="D5" s="20" t="str">
        <x:v>Upper local wage-pressure observation</x:v>
      </x:c>
      <x:c r="E5" s="20" t="str">
        <x:v>Annual Labor / NBS</x:v>
      </x:c>
    </x:row>
    <x:row r="6">
      <x:c r="A6" s="20" t="str">
        <x:v>China wage growth, USD-converted</x:v>
      </x:c>
      <x:c r="B6" s="23" t="n">
        <x:f>'FX Analysis'!B18</x:f>
        <x:v>0.38266715601639056</x:v>
      </x:c>
      <x:c r="C6" s="20" t="str">
        <x:v>2019–2025</x:v>
      </x:c>
      <x:c r="D6" s="20" t="str">
        <x:v>China exposure sensitivity after FX</x:v>
      </x:c>
      <x:c r="E6" s="20" t="str">
        <x:v>FX Analysis</x:v>
      </x:c>
    </x:row>
    <x:row r="7">
      <x:c r="A7" s="20" t="str">
        <x:v>Vietnam manufacturing wage growth</x:v>
      </x:c>
      <x:c r="B7" s="23" t="n">
        <x:f>'Multinational Labor'!D14</x:f>
        <x:v>0.2333994631812346</x:v>
      </x:c>
      <x:c r="C7" s="20" t="str">
        <x:v>2019–2023</x:v>
      </x:c>
      <x:c r="D7" s="20" t="str">
        <x:v>Lower non-China benchmark</x:v>
      </x:c>
      <x:c r="E7" s="20" t="str">
        <x:v>Multinational Labor / NSO Vietnam</x:v>
      </x:c>
    </x:row>
    <x:row r="8">
      <x:c r="A8" s="20" t="str">
        <x:v>India factory wage/worker growth</x:v>
      </x:c>
      <x:c r="B8" s="23" t="n">
        <x:f>'Multinational Labor'!D15</x:f>
        <x:v>0.23497323908654155</x:v>
      </x:c>
      <x:c r="C8" s="20" t="str">
        <x:v>FY2019-20–FY2023-24</x:v>
      </x:c>
      <x:c r="D8" s="20" t="str">
        <x:v>Lower non-China benchmark</x:v>
      </x:c>
      <x:c r="E8" s="20" t="str">
        <x:v>Multinational Labor / ASI</x:v>
      </x:c>
    </x:row>
    <x:row r="9">
      <x:c r="A9" s="20" t="str">
        <x:v>Non-China benchmark midpoint</x:v>
      </x:c>
      <x:c r="B9" s="23" t="n">
        <x:f>AVERAGE(B7:B8)</x:f>
        <x:v>0.23418635113388808</x:v>
      </x:c>
      <x:c r="C9" s="20" t="str">
        <x:v>Latest available Vietnam + India</x:v>
      </x:c>
      <x:c r="D9" s="20" t="str">
        <x:v>Scenario benchmark only</x:v>
      </x:c>
      <x:c r="E9" s="20" t="str">
        <x:v>Derived</x:v>
      </x:c>
    </x:row>
    <x:row r="10">
      <x:c r="A10" s="20" t="str">
        <x:v>Hasbro China share of U.S. toy/game volume</x:v>
      </x:c>
      <x:c r="B10" s="23" t="n">
        <x:v>0.5</x:v>
      </x:c>
      <x:c r="C10" s="20" t="str">
        <x:v>2025 management disclosure</x:v>
      </x:c>
      <x:c r="D10" s="20" t="str">
        <x:v>Exposure anchor, not Marvel Legends-specific</x:v>
      </x:c>
      <x:c r="E10" s="20" t="str">
        <x:v>https://investor.hasbro.com/static-files/005be71f-0c3f-4e8a-800e-06ecd698c19c</x:v>
      </x:c>
    </x:row>
    <x:row r="11">
      <x:c r="A11" s="20" t="str">
        <x:v>Historical labor share of COGS — minimum</x:v>
      </x:c>
      <x:c r="B11" s="23" t="n">
        <x:f>MIN('Hasbro COGS History'!J5/'Hasbro COGS History'!D5,'Hasbro COGS History'!J6/'Hasbro COGS History'!D6,'Hasbro COGS History'!J7/'Hasbro COGS History'!D7,'Hasbro COGS History'!J8/'Hasbro COGS History'!D8)</x:f>
        <x:v>0.17177914110429449</x:v>
      </x:c>
      <x:c r="C11" s="20" t="str">
        <x:v>Hasbro 2019–2022</x:v>
      </x:c>
      <x:c r="D11" s="20" t="str">
        <x:v>Low weight</x:v>
      </x:c>
      <x:c r="E11" s="20" t="str">
        <x:v>Hasbro COGS History</x:v>
      </x:c>
    </x:row>
    <x:row r="12">
      <x:c r="A12" s="20" t="str">
        <x:v>Historical labor share of COGS — average</x:v>
      </x:c>
      <x:c r="B12" s="23" t="n">
        <x:f>'Hasbro COGS History'!B14</x:f>
        <x:v>0.19418986381227488</x:v>
      </x:c>
      <x:c r="C12" s="20" t="str">
        <x:v>Hasbro 2019–2022</x:v>
      </x:c>
      <x:c r="D12" s="20" t="str">
        <x:v>Base weight</x:v>
      </x:c>
      <x:c r="E12" s="20" t="str">
        <x:v>Hasbro COGS History</x:v>
      </x:c>
    </x:row>
    <x:row r="13">
      <x:c r="A13" s="20" t="str">
        <x:v>Historical labor share of COGS — maximum</x:v>
      </x:c>
      <x:c r="B13" s="23" t="n">
        <x:f>MAX('Hasbro COGS History'!J5/'Hasbro COGS History'!D5,'Hasbro COGS History'!J6/'Hasbro COGS History'!D6,'Hasbro COGS History'!J7/'Hasbro COGS History'!D7,'Hasbro COGS History'!J8/'Hasbro COGS History'!D8)</x:f>
        <x:v>0.21148825065274152</x:v>
      </x:c>
      <x:c r="C13" s="20" t="str">
        <x:v>Hasbro 2019–2022</x:v>
      </x:c>
      <x:c r="D13" s="20" t="str">
        <x:v>High weight</x:v>
      </x:c>
      <x:c r="E13" s="20" t="str">
        <x:v>Hasbro COGS History</x:v>
      </x:c>
    </x:row>
    <x:row r="16">
      <x:c r="A16" s="217" t="str">
        <x:v>Scenario</x:v>
      </x:c>
      <x:c r="B16" s="217" t="str">
        <x:v>Labor-Pressure Assumption</x:v>
      </x:c>
      <x:c r="C16" s="217" t="str">
        <x:v>Labor Share of COGS</x:v>
      </x:c>
      <x:c r="D16" s="217" t="str">
        <x:v>Implied Labor-Driven COGS Pressure</x:v>
      </x:c>
      <x:c r="E16" s="217" t="str">
        <x:v>Interpretation</x:v>
      </x:c>
      <x:c r="F16" s="217" t="str">
        <x:v>Use in Paper</x:v>
      </x:c>
      <x:c r="G16" s="217" t="str">
        <x:v>Key Caveat</x:v>
      </x:c>
    </x:row>
    <x:row r="17">
      <x:c r="A17" s="20" t="str">
        <x:v>Low</x:v>
      </x:c>
      <x:c r="B17" s="23" t="n">
        <x:f>B9</x:f>
        <x:v>0.23418635113388808</x:v>
      </x:c>
      <x:c r="C17" s="23" t="n">
        <x:f>B11</x:f>
        <x:v>0.17177914110429449</x:v>
      </x:c>
      <x:c r="D17" s="23" t="n">
        <x:f>B17*C17</x:f>
        <x:v>0.040228330256128014</x:v>
      </x:c>
      <x:c r="E17" s="20" t="str">
        <x:v>Uses the lower non-China wage-growth benchmark and the lowest historical Hasbro labor share.</x:v>
      </x:c>
      <x:c r="F17" s="20" t="str">
        <x:v>Lower-bound sensitivity anchor.</x:v>
      </x:c>
      <x:c r="G17" s="20" t="str">
        <x:v>Vietnam/India series end earlier than China and may understate later wage growth.</x:v>
      </x:c>
    </x:row>
    <x:row r="18">
      <x:c r="A18" s="20" t="str">
        <x:v>Base</x:v>
      </x:c>
      <x:c r="B18" s="23" t="n">
        <x:f>$B$10*$B$6+(1-$B$10)*$B$9</x:f>
        <x:v>0.3084267535751393</x:v>
      </x:c>
      <x:c r="C18" s="23" t="n">
        <x:f>B12</x:f>
        <x:v>0.19418986381227488</x:v>
      </x:c>
      <x:c r="D18" s="23" t="n">
        <x:f>B18*C18</x:f>
        <x:v>0.05989334927281837</x:v>
      </x:c>
      <x:c r="E18" s="20" t="str">
        <x:v>Uses 50% China exposure at FX-adjusted China wage growth and 50% at the Vietnam/India benchmark; paired with average historical Hasbro labor share.</x:v>
      </x:c>
      <x:c r="F18" s="20" t="str">
        <x:v>Preferred central sensitivity case.</x:v>
      </x:c>
      <x:c r="G18" s="20" t="str">
        <x:v>The non-China half is a benchmark, not a disclosed Hasbro country allocation.</x:v>
      </x:c>
    </x:row>
    <x:row r="19">
      <x:c r="A19" s="20" t="str">
        <x:v>High</x:v>
      </x:c>
      <x:c r="B19" s="23" t="n">
        <x:f>B6</x:f>
        <x:v>0.38266715601639056</x:v>
      </x:c>
      <x:c r="C19" s="23" t="n">
        <x:f>B13</x:f>
        <x:v>0.21148825065274152</x:v>
      </x:c>
      <x:c r="D19" s="23" t="n">
        <x:f>B19*C19</x:f>
        <x:v>0.08092960740816615</x:v>
      </x:c>
      <x:c r="E19" s="20" t="str">
        <x:v>Uses China FX-adjusted wage growth with the highest historical Hasbro labor share.</x:v>
      </x:c>
      <x:c r="F19" s="20" t="str">
        <x:v>Upper plausible sensitivity anchor.</x:v>
      </x:c>
      <x:c r="G19" s="20" t="str">
        <x:v>Assumes China-like wage pressure applies broadly and ignores potential productivity or supplier mitigation.</x:v>
      </x:c>
    </x:row>
    <x:row r="20">
      <x:c r="A20" s="20" t="str">
        <x:v>Extreme upper diagnostic</x:v>
      </x:c>
      <x:c r="B20" s="23" t="n">
        <x:f>B5</x:f>
        <x:v>0.43885504559385513</x:v>
      </x:c>
      <x:c r="C20" s="23" t="n">
        <x:f>B13</x:f>
        <x:v>0.21148825065274152</x:v>
      </x:c>
      <x:c r="D20" s="23" t="n">
        <x:f>B20*C20</x:f>
        <x:v>0.09281268588277354</x:v>
      </x:c>
      <x:c r="E20" s="20" t="str">
        <x:v>Uses unadjusted China local-currency wage growth with the highest historical Hasbro labor share.</x:v>
      </x:c>
      <x:c r="F20" s="20" t="str">
        <x:v>Do not use as central estimate; show only to illustrate the outer edge.</x:v>
      </x:c>
      <x:c r="G20" s="20" t="str">
        <x:v>Ignores FX offset and therefore intentionally overstates dollar-side pass-through risk.</x:v>
      </x:c>
    </x:row>
    <x:row r="23">
      <x:c r="A23" s="220" t="str">
        <x:v>Method Decision</x:v>
      </x:c>
      <x:c r="B23" s="220" t="str">
        <x:v>Include</x:v>
      </x:c>
      <x:c r="C23" s="220" t="str">
        <x:v>Exclude / Avoid</x:v>
      </x:c>
      <x:c r="D23" s="220" t="str">
        <x:v>Why</x:v>
      </x:c>
    </x:row>
    <x:row r="24">
      <x:c r="A24" s="20" t="str">
        <x:v>Labor in economic framework</x:v>
      </x:c>
      <x:c r="B24" s="20" t="str">
        <x:v>Keep labor as a formal supply-side cost category and discuss observed wage pressure across major sourcing countries.</x:v>
      </x:c>
      <x:c r="C24" s="20" t="str">
        <x:v>Do not drop labor merely because product-line payroll is unavailable.</x:v>
      </x:c>
      <x:c r="D24" s="20" t="str">
        <x:v>Labor is economically material and Hasbro's own historical COGS disclosures confirm it was roughly one-fifth of COGS.</x:v>
      </x:c>
    </x:row>
    <x:row r="25">
      <x:c r="A25" s="20" t="str">
        <x:v>Labor in core monthly regression</x:v>
      </x:c>
      <x:c r="B25" s="20" t="str">
        <x:v>Use labor sensitivity results in interpretation and robustness discussion.</x:v>
      </x:c>
      <x:c r="C25" s="20" t="str">
        <x:v>Do not manufacture a monthly Marvel Legends labor-cost series from sparse annual national wages.</x:v>
      </x:c>
      <x:c r="D25" s="20" t="str">
        <x:v>The frequency mismatch and undisclosed sourcing weights would create false precision.</x:v>
      </x:c>
    </x:row>
    <x:row r="26">
      <x:c r="A26" s="20" t="str">
        <x:v>Central labor result</x:v>
      </x:c>
      <x:c r="B26" s="20" t="str">
        <x:v>Report a low/base/high pressure band, clearly labeled as a sensitivity envelope.</x:v>
      </x:c>
      <x:c r="C26" s="20" t="str">
        <x:v>Do not call the band an estimate of actual Marvel Legends labor cost or a causal contribution to MSRP.</x:v>
      </x:c>
      <x:c r="D26" s="20" t="str">
        <x:v>It bounds plausible labor pressure using observed wages, Hasbro sourcing exposure, FX and historical labor shares.</x:v>
      </x:c>
    </x:row>
    <x:row r="27">
      <x:c r="A27" s="20" t="str">
        <x:v>Stopping rule</x:v>
      </x:c>
      <x:c r="B27" s="20" t="str">
        <x:v>Freeze the labor methodology here unless materially better Hasbro/product-line data appear.</x:v>
      </x:c>
      <x:c r="C27" s="20" t="str">
        <x:v>Do not keep adding weak proxies simply to narrow the range.</x:v>
      </x:c>
      <x:c r="D27" s="20" t="str">
        <x:v>Additional weak assumptions can reduce apparent uncertainty while making the analysis less credible.</x:v>
      </x:c>
    </x:row>
    <x:row r="30">
      <x:c r="A30" s="223" t="str">
        <x:v>Recommended paper treatment</x:v>
      </x:c>
      <x:c r="B30" s="223"/>
      <x:c r="C30" s="223"/>
      <x:c r="D30" s="223"/>
      <x:c r="E30" s="223"/>
      <x:c r="F30" s="223"/>
      <x:c r="G30" s="223"/>
    </x:row>
    <x:row r="31">
      <x:c r="A31" s="226" t="str">
        <x:v>Labor should remain in the paper as a measured-but-bounded supply-side pressure. The main analysis should report observed national manufacturing-wage changes and a low/base/high COGS-pressure sensitivity range, while explicitly stating that Hasbro does not disclose Marvel Legends-specific labor rates, country weights, productivity offsets, or supplier contract pass-through. Because of those limitations, labor should inform interpretation and robustness rather than be forced into the core monthly regression.</x:v>
      </x:c>
      <x:c r="B31" s="226"/>
      <x:c r="C31" s="226"/>
      <x:c r="D31" s="226"/>
      <x:c r="E31" s="226"/>
      <x:c r="F31" s="226"/>
      <x:c r="G31" s="226"/>
    </x:row>
    <x:row r="32">
      <x:c r="A32" s="226"/>
      <x:c r="B32" s="226"/>
      <x:c r="C32" s="226"/>
      <x:c r="D32" s="226"/>
      <x:c r="E32" s="226"/>
      <x:c r="F32" s="226"/>
      <x:c r="G32" s="226"/>
    </x:row>
    <x:row r="33">
      <x:c r="A33" s="226"/>
      <x:c r="B33" s="226"/>
      <x:c r="C33" s="226"/>
      <x:c r="D33" s="226"/>
      <x:c r="E33" s="226"/>
      <x:c r="F33" s="226"/>
      <x:c r="G33" s="226"/>
    </x:row>
  </x:sheetData>
  <x:mergeCells>
    <x:mergeCell ref="A1:J1"/>
    <x:mergeCell ref="A2:J2"/>
    <x:mergeCell ref="A30:G30"/>
    <x:mergeCell ref="A31:G33"/>
  </x:mergeCells>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22" hidden="0" customWidth="1"/>
    <x:col min="3" max="3" width="22" hidden="0" customWidth="1"/>
    <x:col min="7" max="7" width="30" hidden="0" customWidth="1"/>
    <x:col min="8" max="8" width="30" hidden="0" customWidth="1"/>
    <x:col min="9" max="9" width="30" hidden="0" customWidth="1"/>
    <x:col min="10" max="10" width="30" hidden="0" customWidth="1"/>
  </x:cols>
  <x:sheetData>
    <x:row r="1">
      <x:c r="A1" s="233" t="str">
        <x:v>Packaging-Cost Overlap and Multicollinearity Review</x:v>
      </x:c>
      <x:c r="B1" s="233"/>
      <x:c r="C1" s="233"/>
      <x:c r="D1" s="233"/>
      <x:c r="E1" s="233"/>
      <x:c r="F1" s="233"/>
      <x:c r="G1" s="233"/>
      <x:c r="H1" s="233"/>
      <x:c r="I1" s="233"/>
      <x:c r="J1" s="233"/>
    </x:row>
    <x:row r="2">
      <x:c r="A2" s="235" t="str">
        <x:v>Printing ink, adhesives, paperboard and corrugated-carton PPIs all represent real packaging-related cost pressure, but they may move together strongly enough that including all four simultaneously would create multicollinearity. Levels and month-to-month changes are therefore checked separately.</x:v>
      </x:c>
      <x:c r="B2" s="235"/>
      <x:c r="C2" s="235"/>
      <x:c r="D2" s="235"/>
      <x:c r="E2" s="235"/>
      <x:c r="F2" s="235"/>
      <x:c r="G2" s="235"/>
      <x:c r="H2" s="235"/>
      <x:c r="I2" s="235"/>
      <x:c r="J2" s="235"/>
    </x:row>
    <x:row r="4">
      <x:c r="A4" s="238" t="str">
        <x:v>Level Correlation</x:v>
      </x:c>
      <x:c r="B4" s="238" t="str">
        <x:v>Printing Ink</x:v>
      </x:c>
      <x:c r="C4" s="238" t="str">
        <x:v>Adhesives</x:v>
      </x:c>
      <x:c r="D4" s="238" t="str">
        <x:v>Paperboard</x:v>
      </x:c>
      <x:c r="E4" s="238" t="str">
        <x:v>Corrugated Cartons</x:v>
      </x:c>
      <x:c r="G4" s="244" t="str">
        <x:v>Variable</x:v>
      </x:c>
      <x:c r="H4" s="244" t="str">
        <x:v>Level VIF</x:v>
      </x:c>
      <x:c r="I4" s="244" t="str">
        <x:v>Interpretation</x:v>
      </x:c>
      <x:c r="J4" s="244" t="str">
        <x:v>Core-Model Decision</x:v>
      </x:c>
    </x:row>
    <x:row r="5">
      <x:c r="A5" s="20" t="str">
        <x:v>Printing Ink</x:v>
      </x:c>
      <x:c r="B5" s="22" t="n">
        <x:v>1</x:v>
      </x:c>
      <x:c r="C5" s="22" t="n">
        <x:v>0.9926</x:v>
      </x:c>
      <x:c r="D5" s="22" t="n">
        <x:v>0.9758</x:v>
      </x:c>
      <x:c r="E5" s="22" t="n">
        <x:v>0.9472</x:v>
      </x:c>
      <x:c r="G5" s="20" t="str">
        <x:v>Printing Ink</x:v>
      </x:c>
      <x:c r="H5" s="40" t="n">
        <x:v>72.56477377243232</x:v>
      </x:c>
      <x:c r="I5" s="20" t="str">
        <x:v>Severe overlap</x:v>
      </x:c>
      <x:c r="J5" s="20" t="str">
        <x:v>Do not include simultaneously with all other packaging components in core model.</x:v>
      </x:c>
    </x:row>
    <x:row r="6">
      <x:c r="A6" s="20" t="str">
        <x:v>Adhesives</x:v>
      </x:c>
      <x:c r="B6" s="22" t="n">
        <x:v>0.9926</x:v>
      </x:c>
      <x:c r="C6" s="22" t="n">
        <x:v>1</x:v>
      </x:c>
      <x:c r="D6" s="22" t="n">
        <x:v>0.9776</x:v>
      </x:c>
      <x:c r="E6" s="22" t="n">
        <x:v>0.955</x:v>
      </x:c>
      <x:c r="G6" s="20" t="str">
        <x:v>Adhesives</x:v>
      </x:c>
      <x:c r="H6" s="40" t="n">
        <x:v>118.41012478196427</x:v>
      </x:c>
      <x:c r="I6" s="20" t="str">
        <x:v>Severe overlap</x:v>
      </x:c>
      <x:c r="J6" s="20" t="str">
        <x:v>Do not include simultaneously with all other packaging components in core model.</x:v>
      </x:c>
    </x:row>
    <x:row r="7">
      <x:c r="A7" s="20" t="str">
        <x:v>Paperboard</x:v>
      </x:c>
      <x:c r="B7" s="22" t="n">
        <x:v>0.9758</x:v>
      </x:c>
      <x:c r="C7" s="22" t="n">
        <x:v>0.9776</x:v>
      </x:c>
      <x:c r="D7" s="22" t="n">
        <x:v>1</x:v>
      </x:c>
      <x:c r="E7" s="22" t="n">
        <x:v>0.897</x:v>
      </x:c>
      <x:c r="G7" s="20" t="str">
        <x:v>Paperboard</x:v>
      </x:c>
      <x:c r="H7" s="40" t="n">
        <x:v>36.64411296532489</x:v>
      </x:c>
      <x:c r="I7" s="20" t="str">
        <x:v>Severe overlap</x:v>
      </x:c>
      <x:c r="J7" s="20" t="str">
        <x:v>Do not include simultaneously with all other packaging components in core model.</x:v>
      </x:c>
    </x:row>
    <x:row r="8">
      <x:c r="A8" s="20" t="str">
        <x:v>Corrugated Cartons</x:v>
      </x:c>
      <x:c r="B8" s="22" t="n">
        <x:v>0.9472</x:v>
      </x:c>
      <x:c r="C8" s="22" t="n">
        <x:v>0.955</x:v>
      </x:c>
      <x:c r="D8" s="22" t="n">
        <x:v>0.897</x:v>
      </x:c>
      <x:c r="E8" s="22" t="n">
        <x:v>1</x:v>
      </x:c>
      <x:c r="G8" s="20" t="str">
        <x:v>Corrugated Cartons</x:v>
      </x:c>
      <x:c r="H8" s="40" t="n">
        <x:v>17.595293557773754</x:v>
      </x:c>
      <x:c r="I8" s="20" t="str">
        <x:v>Severe overlap</x:v>
      </x:c>
      <x:c r="J8" s="20" t="str">
        <x:v>Do not include simultaneously with all other packaging components in core model.</x:v>
      </x:c>
    </x:row>
    <x:row r="11">
      <x:c r="A11" s="241" t="str">
        <x:v>Monthly % Change Correlation</x:v>
      </x:c>
      <x:c r="B11" s="241" t="str">
        <x:v>Printing Ink</x:v>
      </x:c>
      <x:c r="C11" s="241" t="str">
        <x:v>Adhesives</x:v>
      </x:c>
      <x:c r="D11" s="241" t="str">
        <x:v>Paperboard</x:v>
      </x:c>
      <x:c r="E11" s="241" t="str">
        <x:v>Corrugated Cartons</x:v>
      </x:c>
      <x:c r="G11" s="252" t="str">
        <x:v>Common-Trend Diagnostic</x:v>
      </x:c>
      <x:c r="H11" s="252" t="str">
        <x:v>Value</x:v>
      </x:c>
      <x:c r="I11" s="252" t="str">
        <x:v>Interpretation</x:v>
      </x:c>
      <x:c r="J11" s="252" t="str">
        <x:v>Decision</x:v>
      </x:c>
    </x:row>
    <x:row r="12">
      <x:c r="A12" s="20" t="str">
        <x:v>Printing Ink</x:v>
      </x:c>
      <x:c r="B12" s="22" t="n">
        <x:v>1</x:v>
      </x:c>
      <x:c r="C12" s="22" t="n">
        <x:v>0.2109</x:v>
      </x:c>
      <x:c r="D12" s="22" t="n">
        <x:v>0.2746</x:v>
      </x:c>
      <x:c r="E12" s="22" t="n">
        <x:v>0.3852</x:v>
      </x:c>
      <x:c r="G12" s="20" t="str">
        <x:v>First principal component variance share</x:v>
      </x:c>
      <x:c r="H12" s="22" t="n">
        <x:v>0.9683288836269859</x:v>
      </x:c>
      <x:c r="I12" s="20" t="str">
        <x:v>A single common factor explains most of the standardized long-run movement across the four packaging series.</x:v>
      </x:c>
      <x:c r="J12" s="20" t="str">
        <x:v>Supports using one core packaging factor rather than four simultaneous regressors.</x:v>
      </x:c>
    </x:row>
    <x:row r="13">
      <x:c r="A13" s="20" t="str">
        <x:v>Adhesives</x:v>
      </x:c>
      <x:c r="B13" s="22" t="n">
        <x:v>0.2109</x:v>
      </x:c>
      <x:c r="C13" s="22" t="n">
        <x:v>1</x:v>
      </x:c>
      <x:c r="D13" s="22" t="n">
        <x:v>0.3664</x:v>
      </x:c>
      <x:c r="E13" s="22" t="n">
        <x:v>0.5079</x:v>
      </x:c>
      <x:c r="G13" s="20" t="str">
        <x:v>Level-correlation range</x:v>
      </x:c>
      <x:c r="H13" s="22" t="n">
        <x:v>0.8970317717471741</x:v>
      </x:c>
      <x:c r="I13" s="20" t="str">
        <x:v>Lowest pairwise level correlation among the four components.</x:v>
      </x:c>
      <x:c r="J13" s="20" t="str">
        <x:v>Still extremely high.</x:v>
      </x:c>
    </x:row>
    <x:row r="14">
      <x:c r="A14" s="20" t="str">
        <x:v>Paperboard</x:v>
      </x:c>
      <x:c r="B14" s="22" t="n">
        <x:v>0.2746</x:v>
      </x:c>
      <x:c r="C14" s="22" t="n">
        <x:v>0.3664</x:v>
      </x:c>
      <x:c r="D14" s="22" t="n">
        <x:v>1</x:v>
      </x:c>
      <x:c r="E14" s="22" t="n">
        <x:v>0.2364</x:v>
      </x:c>
      <x:c r="G14" s="20" t="str">
        <x:v>Level-correlation maximum</x:v>
      </x:c>
      <x:c r="H14" s="22" t="n">
        <x:v>0.9926370984269062</x:v>
      </x:c>
      <x:c r="I14" s="20" t="str">
        <x:v>Highest pairwise level correlation among the four components.</x:v>
      </x:c>
      <x:c r="J14" s="20" t="str">
        <x:v>Confirms near-duplicate long-run trend information.</x:v>
      </x:c>
    </x:row>
    <x:row r="15">
      <x:c r="A15" s="20" t="str">
        <x:v>Corrugated Cartons</x:v>
      </x:c>
      <x:c r="B15" s="22" t="n">
        <x:v>0.3852</x:v>
      </x:c>
      <x:c r="C15" s="22" t="n">
        <x:v>0.5079</x:v>
      </x:c>
      <x:c r="D15" s="22" t="n">
        <x:v>0.2364</x:v>
      </x:c>
      <x:c r="E15" s="22" t="n">
        <x:v>1</x:v>
      </x:c>
      <x:c r="G15" s="20" t="str">
        <x:v>Monthly-change correlation range</x:v>
      </x:c>
      <x:c r="H15" s="20" t="str">
        <x:v>0.211 to 0.508</x:v>
      </x:c>
      <x:c r="I15" s="20" t="str">
        <x:v>Short-run shocks are much less synchronized than levels.</x:v>
      </x:c>
      <x:c r="J15" s="20" t="str">
        <x:v>Retain components for robustness / interpretation.</x:v>
      </x:c>
    </x:row>
    <x:row r="18">
      <x:c r="A18" s="247" t="str">
        <x:v>Packaging Composite</x:v>
      </x:c>
      <x:c r="B18" s="247" t="str">
        <x:v>Jan 2019</x:v>
      </x:c>
      <x:c r="C18" s="247" t="str">
        <x:v>Apr 2022</x:v>
      </x:c>
      <x:c r="D18" s="247" t="str">
        <x:v>Aug 2026</x:v>
      </x:c>
      <x:c r="E18" s="247" t="str">
        <x:v>Construction</x:v>
      </x:c>
      <x:c r="F18" s="247" t="str">
        <x:v>Role</x:v>
      </x:c>
    </x:row>
    <x:row r="19">
      <x:c r="A19" s="20" t="str">
        <x:v>Equal-weight Packaging Cost Index</x:v>
      </x:c>
      <x:c r="B19" s="40" t="n">
        <x:v>100</x:v>
      </x:c>
      <x:c r="C19" s="40" t="n">
        <x:v>121.46185835844571</x:v>
      </x:c>
      <x:c r="D19" s="40" t="n">
        <x:v>140.86877411786537</x:v>
      </x:c>
      <x:c r="E19" s="20" t="str">
        <x:v>Average of four component indexes after each is normalized to Jan 2019 = 100.</x:v>
      </x:c>
      <x:c r="F19" s="20" t="str">
        <x:v>Preferred core packaging variable; individual components retained for robustness / appendix.</x:v>
      </x:c>
    </x:row>
    <x:row r="22">
      <x:c r="A22" s="250" t="str">
        <x:v>Decision</x:v>
      </x:c>
      <x:c r="B22" s="250" t="str">
        <x:v>Use</x:v>
      </x:c>
      <x:c r="C22" s="250" t="str">
        <x:v>Avoid</x:v>
      </x:c>
      <x:c r="D22" s="250" t="str">
        <x:v>Reason</x:v>
      </x:c>
    </x:row>
    <x:row r="23">
      <x:c r="A23" s="20" t="str">
        <x:v>Core packaging variable</x:v>
      </x:c>
      <x:c r="B23" s="20" t="str">
        <x:v>Use one equal-weight packaging composite in the core model.</x:v>
      </x:c>
      <x:c r="C23" s="20" t="str">
        <x:v>Do not enter ink, adhesive, paperboard and corrugated indexes simultaneously.</x:v>
      </x:c>
      <x:c r="D23" s="20" t="str">
        <x:v>Their level correlations and VIFs show substantial shared trend information.</x:v>
      </x:c>
    </x:row>
    <x:row r="24">
      <x:c r="A24" s="20" t="str">
        <x:v>Component robustness</x:v>
      </x:c>
      <x:c r="B24" s="20" t="str">
        <x:v>Retain each individual packaging PPI for appendix checks and alternate specifications.</x:v>
      </x:c>
      <x:c r="C24" s="20" t="str">
        <x:v>Do not discard the underlying component series.</x:v>
      </x:c>
      <x:c r="D24" s="20" t="str">
        <x:v>The components are economically distinct even though their long-run movements overlap.</x:v>
      </x:c>
    </x:row>
    <x:row r="25">
      <x:c r="A25" s="20" t="str">
        <x:v>Short-run interpretation</x:v>
      </x:c>
      <x:c r="B25" s="20" t="str">
        <x:v>Recognize that monthly-change correlations are much lower than level correlations.</x:v>
      </x:c>
      <x:c r="C25" s="20" t="str">
        <x:v>Do not claim the four series are literally the same cost.</x:v>
      </x:c>
      <x:c r="D25" s="20" t="str">
        <x:v>They share a long-run inflation trend but respond differently month to month.</x:v>
      </x:c>
    </x:row>
    <x:row r="26">
      <x:c r="A26" s="20" t="str">
        <x:v>Weighting</x:v>
      </x:c>
      <x:c r="B26" s="20" t="str">
        <x:v>Use equal weights because Marvel Legends-specific packaging cost shares are not disclosed.</x:v>
      </x:c>
      <x:c r="C26" s="20" t="str">
        <x:v>Do not invent product-specific weights from Hasbro's company-wide board/paper/print share.</x:v>
      </x:c>
      <x:c r="D26" s="20" t="str">
        <x:v>Equal weighting is transparent and does not create unsupported precision.</x:v>
      </x:c>
    </x:row>
    <x:row r="29">
      <x:c r="A29" s="237" t="str">
        <x:v>Month</x:v>
      </x:c>
      <x:c r="B29" s="237" t="str">
        <x:v>MSRP (Jan 2019=100)</x:v>
      </x:c>
      <x:c r="C29" s="237" t="str">
        <x:v>Packaging Composite</x:v>
      </x:c>
    </x:row>
    <x:row r="30">
      <x:c r="A30" s="253" t="n">
        <x:v>43466</x:v>
      </x:c>
      <x:c r="B30" s="39" t="n">
        <x:v>100</x:v>
      </x:c>
      <x:c r="C30" s="39" t="n">
        <x:v>100</x:v>
      </x:c>
    </x:row>
    <x:row r="31">
      <x:c r="A31" s="253" t="n">
        <x:v>43497</x:v>
      </x:c>
      <x:c r="B31" s="39" t="n">
        <x:v>100</x:v>
      </x:c>
      <x:c r="C31" s="39" t="n">
        <x:v>100.13390365009444</x:v>
      </x:c>
    </x:row>
    <x:row r="32">
      <x:c r="A32" s="253" t="n">
        <x:v>43525</x:v>
      </x:c>
      <x:c r="B32" s="39" t="n">
        <x:v>100</x:v>
      </x:c>
      <x:c r="C32" s="39" t="n">
        <x:v>100.7539838581291</x:v>
      </x:c>
    </x:row>
    <x:row r="33">
      <x:c r="A33" s="253" t="n">
        <x:v>43556</x:v>
      </x:c>
      <x:c r="B33" s="39" t="n">
        <x:v>100</x:v>
      </x:c>
      <x:c r="C33" s="39" t="n">
        <x:v>100.50990679988482</x:v>
      </x:c>
    </x:row>
    <x:row r="34">
      <x:c r="A34" s="253" t="n">
        <x:v>43586</x:v>
      </x:c>
      <x:c r="B34" s="39" t="n">
        <x:v>100</x:v>
      </x:c>
      <x:c r="C34" s="39" t="n">
        <x:v>100.57610695885839</x:v>
      </x:c>
    </x:row>
    <x:row r="35">
      <x:c r="A35" s="253" t="n">
        <x:v>43617</x:v>
      </x:c>
      <x:c r="B35" s="39" t="n">
        <x:v>100</x:v>
      </x:c>
      <x:c r="C35" s="39" t="n">
        <x:v>100.86851716201812</x:v>
      </x:c>
    </x:row>
    <x:row r="36">
      <x:c r="A36" s="253" t="n">
        <x:v>43647</x:v>
      </x:c>
      <x:c r="B36" s="39" t="n">
        <x:v>100</x:v>
      </x:c>
      <x:c r="C36" s="39" t="n">
        <x:v>100.81935664093967</x:v>
      </x:c>
    </x:row>
    <x:row r="37">
      <x:c r="A37" s="253" t="n">
        <x:v>43678</x:v>
      </x:c>
      <x:c r="B37" s="39" t="n">
        <x:v>100</x:v>
      </x:c>
      <x:c r="C37" s="39" t="n">
        <x:v>100.94829004256223</x:v>
      </x:c>
    </x:row>
    <x:row r="38">
      <x:c r="A38" s="253" t="n">
        <x:v>43709</x:v>
      </x:c>
      <x:c r="B38" s="39" t="n">
        <x:v>100</x:v>
      </x:c>
      <x:c r="C38" s="39" t="n">
        <x:v>100.98359150120052</x:v>
      </x:c>
    </x:row>
    <x:row r="39">
      <x:c r="A39" s="253" t="n">
        <x:v>43739</x:v>
      </x:c>
      <x:c r="B39" s="39" t="n">
        <x:v>100</x:v>
      </x:c>
      <x:c r="C39" s="39" t="n">
        <x:v>100.78627989116724</x:v>
      </x:c>
    </x:row>
    <x:row r="40">
      <x:c r="A40" s="253" t="n">
        <x:v>43770</x:v>
      </x:c>
      <x:c r="B40" s="39" t="n">
        <x:v>100</x:v>
      </x:c>
      <x:c r="C40" s="39" t="n">
        <x:v>100.85427216749294</x:v>
      </x:c>
    </x:row>
    <x:row r="41">
      <x:c r="A41" s="253" t="n">
        <x:v>43800</x:v>
      </x:c>
      <x:c r="B41" s="39" t="n">
        <x:v>100</x:v>
      </x:c>
      <x:c r="C41" s="39" t="n">
        <x:v>100.88667419997552</x:v>
      </x:c>
    </x:row>
    <x:row r="42">
      <x:c r="A42" s="253" t="n">
        <x:v>43831</x:v>
      </x:c>
      <x:c r="B42" s="39" t="n">
        <x:v>100</x:v>
      </x:c>
      <x:c r="C42" s="39" t="n">
        <x:v>100.8028628939547</x:v>
      </x:c>
    </x:row>
    <x:row r="43">
      <x:c r="A43" s="253" t="n">
        <x:v>43862</x:v>
      </x:c>
      <x:c r="B43" s="39" t="n">
        <x:v>100</x:v>
      </x:c>
      <x:c r="C43" s="39" t="n">
        <x:v>100.89474679880931</x:v>
      </x:c>
    </x:row>
    <x:row r="44">
      <x:c r="A44" s="253" t="n">
        <x:v>43891</x:v>
      </x:c>
      <x:c r="B44" s="39" t="n">
        <x:v>100</x:v>
      </x:c>
      <x:c r="C44" s="39" t="n">
        <x:v>100.90153819971499</x:v>
      </x:c>
    </x:row>
    <x:row r="45">
      <x:c r="A45" s="253" t="n">
        <x:v>43922</x:v>
      </x:c>
      <x:c r="B45" s="39" t="n">
        <x:v>100</x:v>
      </x:c>
      <x:c r="C45" s="39" t="n">
        <x:v>100.92561016966906</x:v>
      </x:c>
    </x:row>
    <x:row r="46">
      <x:c r="A46" s="253" t="n">
        <x:v>43952</x:v>
      </x:c>
      <x:c r="B46" s="39" t="n">
        <x:v>100</x:v>
      </x:c>
      <x:c r="C46" s="39" t="n">
        <x:v>100.94079465614868</x:v>
      </x:c>
    </x:row>
    <x:row r="47">
      <x:c r="A47" s="253" t="n">
        <x:v>43983</x:v>
      </x:c>
      <x:c r="B47" s="39" t="n">
        <x:v>100</x:v>
      </x:c>
      <x:c r="C47" s="39" t="n">
        <x:v>100.62092498642623</x:v>
      </x:c>
    </x:row>
    <x:row r="48">
      <x:c r="A48" s="253" t="n">
        <x:v>44013</x:v>
      </x:c>
      <x:c r="B48" s="39" t="n">
        <x:v>100</x:v>
      </x:c>
      <x:c r="C48" s="39" t="n">
        <x:v>100.5322822357368</x:v>
      </x:c>
    </x:row>
    <x:row r="49">
      <x:c r="A49" s="253" t="n">
        <x:v>44044</x:v>
      </x:c>
      <x:c r="B49" s="39" t="n">
        <x:v>100</x:v>
      </x:c>
      <x:c r="C49" s="39" t="n">
        <x:v>100.92004581824611</x:v>
      </x:c>
    </x:row>
    <x:row r="50">
      <x:c r="A50" s="253" t="n">
        <x:v>44075</x:v>
      </x:c>
      <x:c r="B50" s="39" t="n">
        <x:v>100</x:v>
      </x:c>
      <x:c r="C50" s="39" t="n">
        <x:v>101.12984044335758</x:v>
      </x:c>
    </x:row>
    <x:row r="51">
      <x:c r="A51" s="253" t="n">
        <x:v>44105</x:v>
      </x:c>
      <x:c r="B51" s="39" t="n">
        <x:v>100</x:v>
      </x:c>
      <x:c r="C51" s="39" t="n">
        <x:v>101.4307258568664</x:v>
      </x:c>
    </x:row>
    <x:row r="52">
      <x:c r="A52" s="253" t="n">
        <x:v>44136</x:v>
      </x:c>
      <x:c r="B52" s="39" t="n">
        <x:v>100</x:v>
      </x:c>
      <x:c r="C52" s="39" t="n">
        <x:v>101.56554007766879</x:v>
      </x:c>
    </x:row>
    <x:row r="53">
      <x:c r="A53" s="253" t="n">
        <x:v>44166</x:v>
      </x:c>
      <x:c r="B53" s="39" t="n">
        <x:v>100</x:v>
      </x:c>
      <x:c r="C53" s="39" t="n">
        <x:v>101.56131644413226</x:v>
      </x:c>
    </x:row>
    <x:row r="54">
      <x:c r="A54" s="253" t="n">
        <x:v>44197</x:v>
      </x:c>
      <x:c r="B54" s="39" t="n">
        <x:v>100</x:v>
      </x:c>
      <x:c r="C54" s="39" t="n">
        <x:v>102.07588719677226</x:v>
      </x:c>
    </x:row>
    <x:row r="55">
      <x:c r="A55" s="253" t="n">
        <x:v>44228</x:v>
      </x:c>
      <x:c r="B55" s="39" t="n">
        <x:v>100</x:v>
      </x:c>
      <x:c r="C55" s="39" t="n">
        <x:v>102.53323600154644</x:v>
      </x:c>
    </x:row>
    <x:row r="56">
      <x:c r="A56" s="253" t="n">
        <x:v>44256</x:v>
      </x:c>
      <x:c r="B56" s="39" t="n">
        <x:v>100</x:v>
      </x:c>
      <x:c r="C56" s="39" t="n">
        <x:v>103.40249224541158</x:v>
      </x:c>
    </x:row>
    <x:row r="57">
      <x:c r="A57" s="253" t="n">
        <x:v>44287</x:v>
      </x:c>
      <x:c r="B57" s="39" t="n">
        <x:v>100</x:v>
      </x:c>
      <x:c r="C57" s="39" t="n">
        <x:v>103.83840875626422</x:v>
      </x:c>
    </x:row>
    <x:row r="58">
      <x:c r="A58" s="253" t="n">
        <x:v>44317</x:v>
      </x:c>
      <x:c r="B58" s="39" t="n">
        <x:v>100</x:v>
      </x:c>
      <x:c r="C58" s="39" t="n">
        <x:v>104.70332272327116</x:v>
      </x:c>
    </x:row>
    <x:row r="59">
      <x:c r="A59" s="253" t="n">
        <x:v>44348</x:v>
      </x:c>
      <x:c r="B59" s="39" t="n">
        <x:v>100</x:v>
      </x:c>
      <x:c r="C59" s="39" t="n">
        <x:v>105.67093794101066</x:v>
      </x:c>
    </x:row>
    <x:row r="60">
      <x:c r="A60" s="253" t="n">
        <x:v>44378</x:v>
      </x:c>
      <x:c r="B60" s="39" t="n">
        <x:v>115.00750375187594</x:v>
      </x:c>
      <x:c r="C60" s="39" t="n">
        <x:v>107.11357845180491</x:v>
      </x:c>
    </x:row>
    <x:row r="61">
      <x:c r="A61" s="253" t="n">
        <x:v>44409</x:v>
      </x:c>
      <x:c r="B61" s="39" t="n">
        <x:v>115.00750375187594</x:v>
      </x:c>
      <x:c r="C61" s="39" t="n">
        <x:v>108.23341412638818</x:v>
      </x:c>
    </x:row>
    <x:row r="62">
      <x:c r="A62" s="253" t="n">
        <x:v>44440</x:v>
      </x:c>
      <x:c r="B62" s="39" t="n">
        <x:v>115.00750375187594</x:v>
      </x:c>
      <x:c r="C62" s="39" t="n">
        <x:v>109.56870211299089</x:v>
      </x:c>
    </x:row>
    <x:row r="63">
      <x:c r="A63" s="253" t="n">
        <x:v>44470</x:v>
      </x:c>
      <x:c r="B63" s="39" t="n">
        <x:v>115.00750375187594</x:v>
      </x:c>
      <x:c r="C63" s="39" t="n">
        <x:v>112.08597642450066</x:v>
      </x:c>
    </x:row>
    <x:row r="64">
      <x:c r="A64" s="253" t="n">
        <x:v>44501</x:v>
      </x:c>
      <x:c r="B64" s="39" t="n">
        <x:v>115.00750375187594</x:v>
      </x:c>
      <x:c r="C64" s="39" t="n">
        <x:v>112.93017816824698</x:v>
      </x:c>
    </x:row>
    <x:row r="65">
      <x:c r="A65" s="253" t="n">
        <x:v>44531</x:v>
      </x:c>
      <x:c r="B65" s="39" t="n">
        <x:v>115.00750375187594</x:v>
      </x:c>
      <x:c r="C65" s="39" t="n">
        <x:v>114.18937905921749</x:v>
      </x:c>
    </x:row>
    <x:row r="66">
      <x:c r="A66" s="253" t="n">
        <x:v>44562</x:v>
      </x:c>
      <x:c r="B66" s="39" t="n">
        <x:v>115.00750375187594</x:v>
      </x:c>
      <x:c r="C66" s="39" t="n">
        <x:v>116.19902636989768</x:v>
      </x:c>
    </x:row>
    <x:row r="67">
      <x:c r="A67" s="253" t="n">
        <x:v>44593</x:v>
      </x:c>
      <x:c r="B67" s="39" t="n">
        <x:v>115.00750375187594</x:v>
      </x:c>
      <x:c r="C67" s="39" t="n">
        <x:v>118.08105567138963</x:v>
      </x:c>
    </x:row>
    <x:row r="68">
      <x:c r="A68" s="253" t="n">
        <x:v>44621</x:v>
      </x:c>
      <x:c r="B68" s="39" t="n">
        <x:v>115.00750375187594</x:v>
      </x:c>
      <x:c r="C68" s="39" t="n">
        <x:v>118.91577551520433</x:v>
      </x:c>
    </x:row>
    <x:row r="69">
      <x:c r="A69" s="253" t="n">
        <x:v>44652</x:v>
      </x:c>
      <x:c r="B69" s="39" t="n">
        <x:v>125.01250625312656</x:v>
      </x:c>
      <x:c r="C69" s="39" t="n">
        <x:v>121.46185835844571</x:v>
      </x:c>
    </x:row>
    <x:row r="70">
      <x:c r="A70" s="253" t="n">
        <x:v>44682</x:v>
      </x:c>
      <x:c r="B70" s="39" t="n">
        <x:v>125.01250625312656</x:v>
      </x:c>
      <x:c r="C70" s="39" t="n">
        <x:v>124.20336123012258</x:v>
      </x:c>
    </x:row>
    <x:row r="71">
      <x:c r="A71" s="253" t="n">
        <x:v>44713</x:v>
      </x:c>
      <x:c r="B71" s="39" t="n">
        <x:v>125.01250625312656</x:v>
      </x:c>
      <x:c r="C71" s="39" t="n">
        <x:v>125.25891190220048</x:v>
      </x:c>
    </x:row>
    <x:row r="72">
      <x:c r="A72" s="253" t="n">
        <x:v>44743</x:v>
      </x:c>
      <x:c r="B72" s="39" t="n">
        <x:v>125.01250625312656</x:v>
      </x:c>
      <x:c r="C72" s="39" t="n">
        <x:v>125.90305419655276</x:v>
      </x:c>
    </x:row>
    <x:row r="73">
      <x:c r="A73" s="253" t="n">
        <x:v>44774</x:v>
      </x:c>
      <x:c r="B73" s="39" t="n">
        <x:v>125.01250625312656</x:v>
      </x:c>
      <x:c r="C73" s="39" t="n">
        <x:v>129.04118014017516</x:v>
      </x:c>
    </x:row>
    <x:row r="74">
      <x:c r="A74" s="253" t="n">
        <x:v>44805</x:v>
      </x:c>
      <x:c r="B74" s="39" t="n">
        <x:v>125.01250625312656</x:v>
      </x:c>
      <x:c r="C74" s="39" t="n">
        <x:v>129.3283026261512</x:v>
      </x:c>
    </x:row>
    <x:row r="75">
      <x:c r="A75" s="253" t="n">
        <x:v>44835</x:v>
      </x:c>
      <x:c r="B75" s="39" t="n">
        <x:v>125.01250625312656</x:v>
      </x:c>
      <x:c r="C75" s="39" t="n">
        <x:v>129.73771533509833</x:v>
      </x:c>
    </x:row>
    <x:row r="76">
      <x:c r="A76" s="253" t="n">
        <x:v>44866</x:v>
      </x:c>
      <x:c r="B76" s="39" t="n">
        <x:v>125.01250625312656</x:v>
      </x:c>
      <x:c r="C76" s="39" t="n">
        <x:v>130.47821521595694</x:v>
      </x:c>
    </x:row>
    <x:row r="77">
      <x:c r="A77" s="253" t="n">
        <x:v>44896</x:v>
      </x:c>
      <x:c r="B77" s="39" t="n">
        <x:v>125.01250625312656</x:v>
      </x:c>
      <x:c r="C77" s="39" t="n">
        <x:v>130.7377227490657</x:v>
      </x:c>
    </x:row>
    <x:row r="78">
      <x:c r="A78" s="253" t="n">
        <x:v>44927</x:v>
      </x:c>
      <x:c r="B78" s="39" t="n">
        <x:v>125.01250625312656</x:v>
      </x:c>
      <x:c r="C78" s="39" t="n">
        <x:v>131.21181381441525</x:v>
      </x:c>
    </x:row>
    <x:row r="79">
      <x:c r="A79" s="253" t="n">
        <x:v>44958</x:v>
      </x:c>
      <x:c r="B79" s="39" t="n">
        <x:v>125.01250625312656</x:v>
      </x:c>
      <x:c r="C79" s="39" t="n">
        <x:v>131.48316984324043</x:v>
      </x:c>
    </x:row>
    <x:row r="80">
      <x:c r="A80" s="253" t="n">
        <x:v>44986</x:v>
      </x:c>
      <x:c r="B80" s="39" t="n">
        <x:v>125.01250625312656</x:v>
      </x:c>
      <x:c r="C80" s="39" t="n">
        <x:v>131.29941349116177</x:v>
      </x:c>
    </x:row>
    <x:row r="81">
      <x:c r="A81" s="253" t="n">
        <x:v>45017</x:v>
      </x:c>
      <x:c r="B81" s="39" t="n">
        <x:v>125.01250625312656</x:v>
      </x:c>
      <x:c r="C81" s="39" t="n">
        <x:v>131.68057543978014</x:v>
      </x:c>
    </x:row>
    <x:row r="82">
      <x:c r="A82" s="253" t="n">
        <x:v>45047</x:v>
      </x:c>
      <x:c r="B82" s="39" t="n">
        <x:v>125.01250625312656</x:v>
      </x:c>
      <x:c r="C82" s="39" t="n">
        <x:v>132.35047606112937</x:v>
      </x:c>
    </x:row>
    <x:row r="83">
      <x:c r="A83" s="253" t="n">
        <x:v>45078</x:v>
      </x:c>
      <x:c r="B83" s="39" t="n">
        <x:v>125.01250625312656</x:v>
      </x:c>
      <x:c r="C83" s="39" t="n">
        <x:v>131.7358006013385</x:v>
      </x:c>
    </x:row>
    <x:row r="84">
      <x:c r="A84" s="253" t="n">
        <x:v>45108</x:v>
      </x:c>
      <x:c r="B84" s="39" t="n">
        <x:v>125.01250625312656</x:v>
      </x:c>
      <x:c r="C84" s="39" t="n">
        <x:v>131.67483607115375</x:v>
      </x:c>
    </x:row>
    <x:row r="85">
      <x:c r="A85" s="253" t="n">
        <x:v>45139</x:v>
      </x:c>
      <x:c r="B85" s="39" t="n">
        <x:v>125.01250625312656</x:v>
      </x:c>
      <x:c r="C85" s="39" t="n">
        <x:v>131.00987916058932</x:v>
      </x:c>
    </x:row>
    <x:row r="86">
      <x:c r="A86" s="253" t="n">
        <x:v>45170</x:v>
      </x:c>
      <x:c r="B86" s="39" t="n">
        <x:v>125.01250625312656</x:v>
      </x:c>
      <x:c r="C86" s="39" t="n">
        <x:v>130.8729797800464</x:v>
      </x:c>
    </x:row>
    <x:row r="87">
      <x:c r="A87" s="253" t="n">
        <x:v>45200</x:v>
      </x:c>
      <x:c r="B87" s="39" t="n">
        <x:v>125.01250625312656</x:v>
      </x:c>
      <x:c r="C87" s="39" t="n">
        <x:v>130.9247607593888</x:v>
      </x:c>
    </x:row>
    <x:row r="88">
      <x:c r="A88" s="253" t="n">
        <x:v>45231</x:v>
      </x:c>
      <x:c r="B88" s="39" t="n">
        <x:v>125.01250625312656</x:v>
      </x:c>
      <x:c r="C88" s="39" t="n">
        <x:v>130.79362293360552</x:v>
      </x:c>
    </x:row>
    <x:row r="89">
      <x:c r="A89" s="253" t="n">
        <x:v>45261</x:v>
      </x:c>
      <x:c r="B89" s="39" t="n">
        <x:v>125.01250625312656</x:v>
      </x:c>
      <x:c r="C89" s="39" t="n">
        <x:v>130.65990102955448</x:v>
      </x:c>
    </x:row>
    <x:row r="90">
      <x:c r="A90" s="253" t="n">
        <x:v>45292</x:v>
      </x:c>
      <x:c r="B90" s="39" t="n">
        <x:v>125.01250625312656</x:v>
      </x:c>
      <x:c r="C90" s="39" t="n">
        <x:v>130.6927535438601</x:v>
      </x:c>
    </x:row>
    <x:row r="91">
      <x:c r="A91" s="253" t="n">
        <x:v>45323</x:v>
      </x:c>
      <x:c r="B91" s="39" t="n">
        <x:v>125.01250625312656</x:v>
      </x:c>
      <x:c r="C91" s="39" t="n">
        <x:v>130.6742745039481</x:v>
      </x:c>
    </x:row>
    <x:row r="92">
      <x:c r="A92" s="253" t="n">
        <x:v>45352</x:v>
      </x:c>
      <x:c r="B92" s="39" t="n">
        <x:v>125.01250625312656</x:v>
      </x:c>
      <x:c r="C92" s="39" t="n">
        <x:v>130.2966593186798</x:v>
      </x:c>
    </x:row>
    <x:row r="93">
      <x:c r="A93" s="253" t="n">
        <x:v>45383</x:v>
      </x:c>
      <x:c r="B93" s="39" t="n">
        <x:v>125.01250625312656</x:v>
      </x:c>
      <x:c r="C93" s="39" t="n">
        <x:v>130.39607163171507</x:v>
      </x:c>
    </x:row>
    <x:row r="94">
      <x:c r="A94" s="253" t="n">
        <x:v>45413</x:v>
      </x:c>
      <x:c r="B94" s="39" t="n">
        <x:v>125.01250625312656</x:v>
      </x:c>
      <x:c r="C94" s="39" t="n">
        <x:v>131.02511059587007</x:v>
      </x:c>
    </x:row>
    <x:row r="95">
      <x:c r="A95" s="253" t="n">
        <x:v>45444</x:v>
      </x:c>
      <x:c r="B95" s="39" t="n">
        <x:v>125.01250625312656</x:v>
      </x:c>
      <x:c r="C95" s="39" t="n">
        <x:v>130.75300756196413</x:v>
      </x:c>
    </x:row>
    <x:row r="96">
      <x:c r="A96" s="253" t="n">
        <x:v>45474</x:v>
      </x:c>
      <x:c r="B96" s="39" t="n">
        <x:v>125.01250625312656</x:v>
      </x:c>
      <x:c r="C96" s="39" t="n">
        <x:v>131.1375496440031</x:v>
      </x:c>
    </x:row>
    <x:row r="97">
      <x:c r="A97" s="253" t="n">
        <x:v>45505</x:v>
      </x:c>
      <x:c r="B97" s="39" t="n">
        <x:v>125.01250625312656</x:v>
      </x:c>
      <x:c r="C97" s="39" t="n">
        <x:v>131.93831588421276</x:v>
      </x:c>
    </x:row>
    <x:row r="98">
      <x:c r="A98" s="253" t="n">
        <x:v>45536</x:v>
      </x:c>
      <x:c r="B98" s="39" t="n">
        <x:v>125.01250625312656</x:v>
      </x:c>
      <x:c r="C98" s="39" t="n">
        <x:v>132.42222229466438</x:v>
      </x:c>
    </x:row>
    <x:row r="99">
      <x:c r="A99" s="253" t="n">
        <x:v>45566</x:v>
      </x:c>
      <x:c r="B99" s="39" t="n">
        <x:v>125.01250625312656</x:v>
      </x:c>
      <x:c r="C99" s="39" t="n">
        <x:v>132.71372586924798</x:v>
      </x:c>
    </x:row>
    <x:row r="100">
      <x:c r="A100" s="253" t="n">
        <x:v>45597</x:v>
      </x:c>
      <x:c r="B100" s="39" t="n">
        <x:v>125.01250625312656</x:v>
      </x:c>
      <x:c r="C100" s="39" t="n">
        <x:v>133.22261499877564</x:v>
      </x:c>
    </x:row>
    <x:row r="101">
      <x:c r="A101" s="253" t="n">
        <x:v>45627</x:v>
      </x:c>
      <x:c r="B101" s="39" t="n">
        <x:v>125.01250625312656</x:v>
      </x:c>
      <x:c r="C101" s="39" t="n">
        <x:v>133.34798523297204</x:v>
      </x:c>
    </x:row>
    <x:row r="102">
      <x:c r="A102" s="253" t="n">
        <x:v>45658</x:v>
      </x:c>
      <x:c r="B102" s="39" t="n">
        <x:v>125.01250625312656</x:v>
      </x:c>
      <x:c r="C102" s="39" t="n">
        <x:v>133.1876596641865</x:v>
      </x:c>
    </x:row>
    <x:row r="103">
      <x:c r="A103" s="253" t="n">
        <x:v>45689</x:v>
      </x:c>
      <x:c r="B103" s="39" t="n">
        <x:v>125.01250625312656</x:v>
      </x:c>
      <x:c r="C103" s="39" t="n">
        <x:v>133.51246310462176</x:v>
      </x:c>
    </x:row>
    <x:row r="104">
      <x:c r="A104" s="253" t="n">
        <x:v>45717</x:v>
      </x:c>
      <x:c r="B104" s="39" t="n">
        <x:v>125.01250625312656</x:v>
      </x:c>
      <x:c r="C104" s="39" t="n">
        <x:v>133.84868088774653</x:v>
      </x:c>
    </x:row>
    <x:row r="105">
      <x:c r="A105" s="253" t="n">
        <x:v>45748</x:v>
      </x:c>
      <x:c r="B105" s="39" t="n">
        <x:v>125.01250625312656</x:v>
      </x:c>
      <x:c r="C105" s="39" t="n">
        <x:v>135.11165717349806</x:v>
      </x:c>
    </x:row>
    <x:row r="106">
      <x:c r="A106" s="253" t="n">
        <x:v>45778</x:v>
      </x:c>
      <x:c r="B106" s="39" t="n">
        <x:v>125.01250625312656</x:v>
      </x:c>
      <x:c r="C106" s="39" t="n">
        <x:v>135.88870956906</x:v>
      </x:c>
    </x:row>
    <x:row r="107">
      <x:c r="A107" s="253" t="n">
        <x:v>45809</x:v>
      </x:c>
      <x:c r="B107" s="39" t="n">
        <x:v>125.01250625312656</x:v>
      </x:c>
      <x:c r="C107" s="39" t="n">
        <x:v>136.16272488797685</x:v>
      </x:c>
    </x:row>
    <x:row r="108">
      <x:c r="A108" s="253" t="n">
        <x:v>45839</x:v>
      </x:c>
      <x:c r="B108" s="39" t="n">
        <x:v>125.01250625312656</x:v>
      </x:c>
      <x:c r="C108" s="39" t="n">
        <x:v>136.3866001937686</x:v>
      </x:c>
    </x:row>
    <x:row r="109">
      <x:c r="A109" s="253" t="n">
        <x:v>45870</x:v>
      </x:c>
      <x:c r="B109" s="39" t="n">
        <x:v>125.01250625312656</x:v>
      </x:c>
      <x:c r="C109" s="39" t="n">
        <x:v>136.5507251137379</x:v>
      </x:c>
    </x:row>
    <x:row r="110">
      <x:c r="A110" s="253" t="n">
        <x:v>45901</x:v>
      </x:c>
      <x:c r="B110" s="39" t="n">
        <x:v>140.02001000500252</x:v>
      </x:c>
      <x:c r="C110" s="39" t="n">
        <x:v>136.85694544642948</x:v>
      </x:c>
    </x:row>
    <x:row r="111">
      <x:c r="A111" s="253" t="n">
        <x:v>45931</x:v>
      </x:c>
      <x:c r="B111" s="39" t="n">
        <x:v>140.02001000500252</x:v>
      </x:c>
      <x:c r="C111" s="39" t="n">
        <x:v>136.32926612462566</x:v>
      </x:c>
    </x:row>
    <x:row r="112">
      <x:c r="A112" s="253" t="n">
        <x:v>45962</x:v>
      </x:c>
      <x:c r="B112" s="39" t="n">
        <x:v>140.02001000500252</x:v>
      </x:c>
      <x:c r="C112" s="39" t="n">
        <x:v>136.36156453012046</x:v>
      </x:c>
    </x:row>
    <x:row r="113">
      <x:c r="A113" s="253" t="n">
        <x:v>45992</x:v>
      </x:c>
      <x:c r="B113" s="39" t="n">
        <x:v>140.02001000500252</x:v>
      </x:c>
      <x:c r="C113" s="39" t="n">
        <x:v>136.46079970483578</x:v>
      </x:c>
    </x:row>
    <x:row r="114">
      <x:c r="A114" s="253" t="n">
        <x:v>46023</x:v>
      </x:c>
      <x:c r="B114" s="39" t="n">
        <x:v>140.02001000500252</x:v>
      </x:c>
      <x:c r="C114" s="39" t="n">
        <x:v>136.789971170056</x:v>
      </x:c>
    </x:row>
    <x:row r="115">
      <x:c r="A115" s="253" t="n">
        <x:v>46054</x:v>
      </x:c>
      <x:c r="B115" s="39" t="n">
        <x:v>140.02001000500252</x:v>
      </x:c>
      <x:c r="C115" s="39" t="n">
        <x:v>135.08856331716217</x:v>
      </x:c>
    </x:row>
    <x:row r="116">
      <x:c r="A116" s="253" t="n">
        <x:v>46082</x:v>
      </x:c>
      <x:c r="B116" s="39" t="n">
        <x:v>140.02001000500252</x:v>
      </x:c>
      <x:c r="C116" s="39" t="n">
        <x:v>135.23627102218268</x:v>
      </x:c>
    </x:row>
    <x:row r="117">
      <x:c r="A117" s="253" t="n">
        <x:v>46113</x:v>
      </x:c>
      <x:c r="B117" s="39" t="n">
        <x:v>140.02001000500252</x:v>
      </x:c>
      <x:c r="C117" s="39" t="n">
        <x:v>135.45021209703756</x:v>
      </x:c>
    </x:row>
    <x:row r="118">
      <x:c r="A118" s="253" t="n">
        <x:v>46143</x:v>
      </x:c>
      <x:c r="B118" s="39" t="n">
        <x:v>140.02001000500252</x:v>
      </x:c>
      <x:c r="C118" s="39" t="n">
        <x:v>137.43113752487648</x:v>
      </x:c>
    </x:row>
    <x:row r="119">
      <x:c r="A119" s="253" t="n">
        <x:v>46174</x:v>
      </x:c>
      <x:c r="B119" s="39" t="n">
        <x:v>140.02001000500252</x:v>
      </x:c>
      <x:c r="C119" s="39" t="n">
        <x:v>138.43141913077756</x:v>
      </x:c>
    </x:row>
    <x:row r="120">
      <x:c r="A120" s="253" t="n">
        <x:v>46204</x:v>
      </x:c>
      <x:c r="B120" s="39" t="n">
        <x:v>140.02001000500252</x:v>
      </x:c>
      <x:c r="C120" s="39" t="n">
        <x:v>139.5364126269694</x:v>
      </x:c>
    </x:row>
    <x:row r="121">
      <x:c r="A121" s="253" t="n">
        <x:v>46235</x:v>
      </x:c>
      <x:c r="B121" s="39" t="n">
        <x:v>140.02001000500252</x:v>
      </x:c>
      <x:c r="C121" s="39" t="n">
        <x:v>140.86877411786537</x:v>
      </x:c>
    </x:row>
  </x:sheetData>
  <x:mergeCells>
    <x:mergeCell ref="A1:J1"/>
    <x:mergeCell ref="A2:J2"/>
  </x:mergeCells>
  <x:pageMargins left="0.7" right="0.7" top="0.75" bottom="0.75" header="0.3" footer="0.3"/>
  <x:drawing xmlns:r="http://schemas.openxmlformats.org/officeDocument/2006/relationships" r:id="Rda4019b055ed4b54"/>
</x:worksheet>
</file>

<file path=xl/worksheets/sheet21.xml><?xml version="1.0" encoding="utf-8"?>
<x:worksheet xmlns:x="http://schemas.openxmlformats.org/spreadsheetml/2006/main">
  <x:sheetFormatPr defaultRowHeight="15"/>
  <x:cols>
    <x:col min="1" max="1" width="24" hidden="0" customWidth="1"/>
    <x:col min="2" max="2" width="20" hidden="0" customWidth="1"/>
    <x:col min="3" max="3" width="21" hidden="0" customWidth="1"/>
    <x:col min="4" max="4" width="23" hidden="0" customWidth="1"/>
    <x:col min="5" max="5" width="16" hidden="0" customWidth="1"/>
    <x:col min="6" max="6" width="30" hidden="0" customWidth="1"/>
    <x:col min="7" max="7" width="30" hidden="0" customWidth="1"/>
    <x:col min="8" max="8" width="42" hidden="0" customWidth="1"/>
    <x:col min="9" max="9" width="38" hidden="0" customWidth="1"/>
    <x:col min="10" max="10" width="42" hidden="0" customWidth="1"/>
  </x:cols>
  <x:sheetData>
    <x:row r="1">
      <x:c r="A1" s="257" t="str">
        <x:v>Marvel Legends Standard-MSRP Sample Audit — 2019–2026</x:v>
      </x:c>
      <x:c r="B1" s="257"/>
      <x:c r="C1" s="257"/>
      <x:c r="D1" s="257"/>
      <x:c r="E1" s="257"/>
      <x:c r="F1" s="257"/>
      <x:c r="G1" s="257"/>
      <x:c r="H1" s="257"/>
      <x:c r="I1" s="257"/>
      <x:c r="J1" s="257"/>
    </x:row>
    <x:row r="2">
      <x:c r="A2" s="259" t="str">
        <x:v>The dependent variable is the prevailing standard Marvel Legends single-figure MSRP regime, not the price of every individual SKU. Product examples and Hasbro timing statements validate each regime. Deluxe figures, multipacks, vehicles, retailer exclusives and other nonstandard price tiers remain excluded.</x:v>
      </x:c>
      <x:c r="B2" s="259"/>
      <x:c r="C2" s="259"/>
      <x:c r="D2" s="259"/>
      <x:c r="E2" s="259"/>
      <x:c r="F2" s="259"/>
      <x:c r="G2" s="259"/>
      <x:c r="H2" s="259"/>
      <x:c r="I2" s="259"/>
      <x:c r="J2" s="259"/>
    </x:row>
    <x:row r="4">
      <x:c r="A4" s="262" t="str">
        <x:v>Regime</x:v>
      </x:c>
      <x:c r="B4" s="262" t="str">
        <x:v>Start</x:v>
      </x:c>
      <x:c r="C4" s="262" t="str">
        <x:v>End</x:v>
      </x:c>
      <x:c r="D4" s="262" t="str">
        <x:v>Months</x:v>
      </x:c>
      <x:c r="E4" s="262" t="str">
        <x:v>Standard MSRP</x:v>
      </x:c>
      <x:c r="F4" s="262" t="str">
        <x:v>Change from Prior Regime</x:v>
      </x:c>
      <x:c r="G4" s="262" t="str">
        <x:v>Validation Status</x:v>
      </x:c>
      <x:c r="H4" s="262" t="str">
        <x:v>Important Overlap Note</x:v>
      </x:c>
    </x:row>
    <x:row r="5">
      <x:c r="A5" s="20" t="str">
        <x:v>1</x:v>
      </x:c>
      <x:c r="B5" s="20" t="str">
        <x:v>Jan 2019</x:v>
      </x:c>
      <x:c r="C5" s="20" t="str">
        <x:v>Jun 2021</x:v>
      </x:c>
      <x:c r="D5" s="20" t="n">
        <x:v>30</x:v>
      </x:c>
      <x:c r="E5" s="28" t="n">
        <x:v>19.99</x:v>
      </x:c>
      <x:c r="F5" s="23"/>
      <x:c r="G5" s="20" t="str">
        <x:v>Validated</x:v>
      </x:c>
      <x:c r="H5" s="20" t="str">
        <x:v>Some higher-price 2021 solicitations appeared before the analytical breakpoint.</x:v>
      </x:c>
    </x:row>
    <x:row r="6">
      <x:c r="A6" s="20" t="str">
        <x:v>2</x:v>
      </x:c>
      <x:c r="B6" s="20" t="str">
        <x:v>Jul 2021</x:v>
      </x:c>
      <x:c r="C6" s="20" t="str">
        <x:v>Mar 2022</x:v>
      </x:c>
      <x:c r="D6" s="20" t="n">
        <x:v>9</x:v>
      </x:c>
      <x:c r="E6" s="28" t="n">
        <x:v>22.99</x:v>
      </x:c>
      <x:c r="F6" s="23" t="n">
        <x:v>0.1500750375187594</x:v>
      </x:c>
      <x:c r="G6" s="20" t="str">
        <x:v>Validated analytical breakpoint</x:v>
      </x:c>
      <x:c r="H6" s="20" t="str">
        <x:v>Older $19.99 product could remain at retail while new assortments moved higher.</x:v>
      </x:c>
    </x:row>
    <x:row r="7">
      <x:c r="A7" s="20" t="str">
        <x:v>3</x:v>
      </x:c>
      <x:c r="B7" s="20" t="str">
        <x:v>Apr 2022</x:v>
      </x:c>
      <x:c r="C7" s="20" t="str">
        <x:v>Aug 2025</x:v>
      </x:c>
      <x:c r="D7" s="20" t="n">
        <x:v>41</x:v>
      </x:c>
      <x:c r="E7" s="28" t="n">
        <x:v>24.99</x:v>
      </x:c>
      <x:c r="F7" s="23" t="n">
        <x:v>0.08699434536755102</x:v>
      </x:c>
      <x:c r="G7" s="20" t="str">
        <x:v>Validated analytical breakpoint</x:v>
      </x:c>
      <x:c r="H7" s="20" t="str">
        <x:v>Older $22.99 product continued into early 2022; regime represents the new standard tier.</x:v>
      </x:c>
    </x:row>
    <x:row r="8">
      <x:c r="A8" s="20" t="str">
        <x:v>4</x:v>
      </x:c>
      <x:c r="B8" s="20" t="str">
        <x:v>Sep 2025</x:v>
      </x:c>
      <x:c r="C8" s="20" t="str">
        <x:v>Aug 2026</x:v>
      </x:c>
      <x:c r="D8" s="20" t="n">
        <x:v>12</x:v>
      </x:c>
      <x:c r="E8" s="28" t="n">
        <x:v>27.99</x:v>
      </x:c>
      <x:c r="F8" s="23" t="n">
        <x:v>0.12004801920768315</x:v>
      </x:c>
      <x:c r="G8" s="20" t="str">
        <x:v>Validated retail regime</x:v>
      </x:c>
      <x:c r="H8" s="20" t="str">
        <x:v>Current standard tier during available 2026 monthly data.</x:v>
      </x:c>
    </x:row>
    <x:row r="11">
      <x:c r="A11" s="265" t="str">
        <x:v>Transition</x:v>
      </x:c>
      <x:c r="B11" s="265" t="str">
        <x:v>Analytical Breakpoint</x:v>
      </x:c>
      <x:c r="C11" s="265" t="str">
        <x:v>Old MSRP</x:v>
      </x:c>
      <x:c r="D11" s="265" t="str">
        <x:v>New MSRP</x:v>
      </x:c>
      <x:c r="E11" s="265" t="str">
        <x:v>Increase</x:v>
      </x:c>
      <x:c r="F11" s="265" t="str">
        <x:v>Primary Timing Evidence</x:v>
      </x:c>
      <x:c r="G11" s="265" t="str">
        <x:v>Audit Result</x:v>
      </x:c>
    </x:row>
    <x:row r="12">
      <x:c r="A12" s="20" t="str">
        <x:v>$19.99 → $22.99</x:v>
      </x:c>
      <x:c r="B12" s="20" t="str">
        <x:v>Jul 2021</x:v>
      </x:c>
      <x:c r="C12" s="28" t="n">
        <x:v>19.99</x:v>
      </x:c>
      <x:c r="D12" s="28" t="n">
        <x:v>22.99</x:v>
      </x:c>
      <x:c r="E12" s="23" t="n">
        <x:v>0.1500750375187594</x:v>
      </x:c>
      <x:c r="F12" s="20" t="str">
        <x:v>Hasbro said 2021 increases were implemented in Q3; $22.99 appeared on new assortments beforehand.</x:v>
      </x:c>
      <x:c r="G12" s="20" t="str">
        <x:v>Keep Jul-2021 breakpoint; overlap is expected and documented.</x:v>
      </x:c>
    </x:row>
    <x:row r="13">
      <x:c r="A13" s="20" t="str">
        <x:v>$22.99 → $24.99</x:v>
      </x:c>
      <x:c r="B13" s="20" t="str">
        <x:v>Apr 2022</x:v>
      </x:c>
      <x:c r="C13" s="28" t="n">
        <x:v>22.99</x:v>
      </x:c>
      <x:c r="D13" s="28" t="n">
        <x:v>24.99</x:v>
      </x:c>
      <x:c r="E13" s="23" t="n">
        <x:v>0.08699434536755102</x:v>
      </x:c>
      <x:c r="F13" s="20" t="str">
        <x:v>Hasbro scheduled further increases for Q2 2022; $24.99 standard-wave preorders appeared in February.</x:v>
      </x:c>
      <x:c r="G13" s="20" t="str">
        <x:v>Keep Apr-2022 breakpoint; overlap is expected and documented.</x:v>
      </x:c>
    </x:row>
    <x:row r="14">
      <x:c r="A14" s="20" t="str">
        <x:v>$24.99 → $27.99</x:v>
      </x:c>
      <x:c r="B14" s="20" t="str">
        <x:v>Sep 2025</x:v>
      </x:c>
      <x:c r="C14" s="28" t="n">
        <x:v>24.99</x:v>
      </x:c>
      <x:c r="D14" s="28" t="n">
        <x:v>27.99</x:v>
      </x:c>
      <x:c r="E14" s="23" t="n">
        <x:v>0.12004801920768315</x:v>
      </x:c>
      <x:c r="F14" s="20" t="str">
        <x:v>New standard releases moved to $27.99 beginning in Sep-2025.</x:v>
      </x:c>
      <x:c r="G14" s="20" t="str">
        <x:v>Keep Sep-2025 breakpoint.</x:v>
      </x:c>
    </x:row>
    <x:row r="17">
      <x:c r="A17" s="268" t="str">
        <x:v>Sample Rule</x:v>
      </x:c>
      <x:c r="B17" s="268" t="str">
        <x:v>Treatment</x:v>
      </x:c>
      <x:c r="C17" s="268" t="str">
        <x:v>Audit Finding</x:v>
      </x:c>
      <x:c r="D17" s="268" t="str">
        <x:v>Status</x:v>
      </x:c>
      <x:c r="F17" s="271" t="str">
        <x:v>Model Issue</x:v>
      </x:c>
      <x:c r="G17" s="271" t="str">
        <x:v>What It Means</x:v>
      </x:c>
      <x:c r="H17" s="271" t="str">
        <x:v>What We Will Do</x:v>
      </x:c>
      <x:c r="I17" s="271" t="str">
        <x:v>What We Will Not Do</x:v>
      </x:c>
      <x:c r="J17" s="271" t="str">
        <x:v>Reason</x:v>
      </x:c>
    </x:row>
    <x:row r="18">
      <x:c r="A18" s="20" t="str">
        <x:v>Standard ~1:12 / 6-inch single figures</x:v>
      </x:c>
      <x:c r="B18" s="20" t="str">
        <x:v>Include at prevailing standard MSRP</x:v>
      </x:c>
      <x:c r="C18" s="20" t="str">
        <x:v>Correct unit for a consistent consumer price series.</x:v>
      </x:c>
      <x:c r="D18" s="20" t="str">
        <x:v>Locked</x:v>
      </x:c>
      <x:c r="F18" s="20" t="str">
        <x:v>Only 4 MSRP levels / 3 increases</x:v>
      </x:c>
      <x:c r="G18" s="20" t="str">
        <x:v>92 monthly rows do not equal 92 independent pricing decisions.</x:v>
      </x:c>
      <x:c r="H18" s="20" t="str">
        <x:v>Use the monthly series for timing/lag relationships and descriptive comparison, but emphasize transition windows and robustness.</x:v>
      </x:c>
      <x:c r="I18" s="20" t="str">
        <x:v>Do not present a high R² from a simple trending levels regression as proof of causation.</x:v>
      </x:c>
      <x:c r="J18" s="20" t="str">
        <x:v>A stepwise dependent variable can correlate strongly with any upward-trending input.</x:v>
      </x:c>
    </x:row>
    <x:row r="19">
      <x:c r="A19" s="20" t="str">
        <x:v>BAF-wave carrier figures</x:v>
      </x:c>
      <x:c r="B19" s="20" t="str">
        <x:v>Include if individually sold at standard MSRP</x:v>
      </x:c>
      <x:c r="C19" s="20" t="str">
        <x:v>BAF economics stay at wave level; no part cost allocated to one carrier figure.</x:v>
      </x:c>
      <x:c r="D19" s="20" t="str">
        <x:v>Locked</x:v>
      </x:c>
      <x:c r="F19" s="20" t="str">
        <x:v>Retail-regime overlap</x:v>
      </x:c>
      <x:c r="G19" s="20" t="str">
        <x:v>Old and new assortments can coexist around breakpoints.</x:v>
      </x:c>
      <x:c r="H19" s="20" t="str">
        <x:v>Treat transition dates as analytical breakpoints rather than overnight universal retail changes.</x:v>
      </x:c>
      <x:c r="I19" s="20" t="str">
        <x:v>Do not imply every retailer changed every SKU on one exact day.</x:v>
      </x:c>
      <x:c r="J19" s="20" t="str">
        <x:v>Solicitation and shelf timing naturally overlap.</x:v>
      </x:c>
    </x:row>
    <x:row r="20">
      <x:c r="A20" s="20" t="str">
        <x:v>Retailer exclusives</x:v>
      </x:c>
      <x:c r="B20" s="20" t="str">
        <x:v>Exclude</x:v>
      </x:c>
      <x:c r="C20" s="20" t="str">
        <x:v>Retailer agreements and special pricing can confound the standard MSRP signal.</x:v>
      </x:c>
      <x:c r="D20" s="20" t="str">
        <x:v>Locked</x:v>
      </x:c>
      <x:c r="F20" s="20" t="str">
        <x:v>First-difference sparsity</x:v>
      </x:c>
      <x:c r="G20" s="20" t="str">
        <x:v>Monthly MSRP change is zero in 89 of 92 months.</x:v>
      </x:c>
      <x:c r="H20" s="20" t="str">
        <x:v>Use first differences only as a diagnostic, not the sole regression design.</x:v>
      </x:c>
      <x:c r="I20" s="20" t="str">
        <x:v>Do not rely on a three-event first-difference regression for the main conclusion.</x:v>
      </x:c>
      <x:c r="J20" s="20" t="str">
        <x:v>Too few nonzero price-change observations.</x:v>
      </x:c>
    </x:row>
    <x:row r="21">
      <x:c r="A21" s="20" t="str">
        <x:v>Deluxe / Mega / oversized</x:v>
      </x:c>
      <x:c r="B21" s="20" t="str">
        <x:v>Exclude</x:v>
      </x:c>
      <x:c r="C21" s="20" t="str">
        <x:v>Different physical and price class.</x:v>
      </x:c>
      <x:c r="D21" s="20" t="str">
        <x:v>Locked</x:v>
      </x:c>
      <x:c r="F21" s="20" t="str">
        <x:v>Best evidence structure</x:v>
      </x:c>
      <x:c r="G21" s="20" t="str">
        <x:v>Cost pressure is continuous; MSRP adjusts discretely.</x:v>
      </x:c>
      <x:c r="H21" s="20" t="str">
        <x:v>Compare accumulated cost pressure before each MSRP transition and supplement with carefully specified level/lag models.</x:v>
      </x:c>
      <x:c r="I21" s="20" t="str">
        <x:v>Do not force the data into a single equation that pretends MSRP adjusts continuously.</x:v>
      </x:c>
      <x:c r="J21" s="20" t="str">
        <x:v>Matches how list-price decisions actually appear in the observed series.</x:v>
      </x:c>
    </x:row>
    <x:row r="22">
      <x:c r="A22" s="20" t="str">
        <x:v>Multipacks / vehicles / bundles</x:v>
      </x:c>
      <x:c r="B22" s="20" t="str">
        <x:v>Exclude</x:v>
      </x:c>
      <x:c r="C22" s="20" t="str">
        <x:v>Structurally different product content and price construction.</x:v>
      </x:c>
      <x:c r="D22" s="20" t="str">
        <x:v>Locked</x:v>
      </x:c>
    </x:row>
    <x:row r="23">
      <x:c r="A23" s="20" t="str">
        <x:v>Accessory count</x:v>
      </x:c>
      <x:c r="B23" s="20" t="str">
        <x:v>Not a sample filter or independent variable</x:v>
      </x:c>
      <x:c r="C23" s="20" t="str">
        <x:v>Already embedded in materials/tooling/deco/assembly and inconsistently allocated.</x:v>
      </x:c>
      <x:c r="D23" s="20" t="str">
        <x:v>Locked</x:v>
      </x:c>
    </x:row>
    <x:row r="24">
      <x:c r="F24" s="277" t="str">
        <x:v>Plastics / Resin Decision</x:v>
      </x:c>
      <x:c r="G24" s="277" t="str">
        <x:v>Core Measure</x:v>
      </x:c>
      <x:c r="H24" s="277" t="str">
        <x:v>What It Captures</x:v>
      </x:c>
      <x:c r="I24" s="277" t="str">
        <x:v>What We Skip</x:v>
      </x:c>
      <x:c r="J24" s="277" t="str">
        <x:v>Why</x:v>
      </x:c>
    </x:row>
    <x:row r="25">
      <x:c r="F25" s="20" t="str">
        <x:v>Use broad thermoplastic plastics/resin PPI</x:v>
      </x:c>
      <x:c r="G25" s="20" t="str">
        <x:v>BLS/FRED WPU0662</x:v>
      </x:c>
      <x:c r="H25" s="20" t="str">
        <x:v>Market price pressure for thermoplastic raw materials used in mass-produced plastic goods.</x:v>
      </x:c>
      <x:c r="I25" s="20" t="str">
        <x:v>No attempt to reconstruct Hasbro's exact PVC/ABS/POM mix or confidential per-pound purchase price.</x:v>
      </x:c>
      <x:c r="J25" s="20" t="str">
        <x:v>The paper needs market input-cost movement and economic significance, not a SKU-level bill of materials.</x:v>
      </x:c>
    </x:row>
    <x:row r="27">
      <x:c r="A27" s="274" t="str">
        <x:v>Price Summary</x:v>
      </x:c>
      <x:c r="B27" s="274" t="str">
        <x:v>Value</x:v>
      </x:c>
      <x:c r="C27" s="274" t="str">
        <x:v>Interpretation</x:v>
      </x:c>
      <x:c r="D27" s="274" t="str">
        <x:v>Use</x:v>
      </x:c>
    </x:row>
    <x:row r="28">
      <x:c r="A28" s="20" t="str">
        <x:v>Cumulative MSRP increase</x:v>
      </x:c>
      <x:c r="B28" s="23" t="n">
        <x:v>0.40020010005002504</x:v>
      </x:c>
      <x:c r="C28" s="20" t="str">
        <x:v>$19.99 to $27.99 over the study period.</x:v>
      </x:c>
      <x:c r="D28" s="20" t="str">
        <x:v>Headline dependent-variable change.</x:v>
      </x:c>
    </x:row>
    <x:row r="29">
      <x:c r="A29" s="20" t="str">
        <x:v>Number of standard MSRP regimes</x:v>
      </x:c>
      <x:c r="B29" s="20" t="n">
        <x:v>4</x:v>
      </x:c>
      <x:c r="C29" s="20" t="str">
        <x:v>Four distinct standard list-price tiers.</x:v>
      </x:c>
      <x:c r="D29" s="20" t="str">
        <x:v>Descriptive.</x:v>
      </x:c>
    </x:row>
    <x:row r="30">
      <x:c r="A30" s="20" t="str">
        <x:v>Number of upward transitions</x:v>
      </x:c>
      <x:c r="B30" s="20" t="n">
        <x:v>3</x:v>
      </x:c>
      <x:c r="C30" s="20" t="str">
        <x:v>Only three discrete pricing events drive the monthly MSRP series.</x:v>
      </x:c>
      <x:c r="D30" s="20" t="str">
        <x:v>Critical modeling limitation.</x:v>
      </x:c>
    </x:row>
    <x:row r="31">
      <x:c r="A31" s="20" t="str">
        <x:v>Monthly observations</x:v>
      </x:c>
      <x:c r="B31" s="20" t="n">
        <x:v>92</x:v>
      </x:c>
      <x:c r="C31" s="20" t="str">
        <x:v>Jan-2019 through Aug-2026.</x:v>
      </x:c>
      <x:c r="D31" s="20" t="str">
        <x:v>Timing / lag analysis, not 92 independent price decisions.</x:v>
      </x:c>
    </x:row>
  </x:sheetData>
  <x:mergeCells>
    <x:mergeCell ref="A1:J1"/>
    <x:mergeCell ref="A2:J2"/>
  </x:mergeCells>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20" hidden="0" customWidth="1"/>
    <x:col min="3" max="3" width="20" hidden="0" customWidth="1"/>
    <x:col min="4" max="4" width="20" hidden="0" customWidth="1"/>
    <x:col min="5" max="5" width="20" hidden="0" customWidth="1"/>
    <x:col min="6" max="6" width="20" hidden="0" customWidth="1"/>
    <x:col min="7" max="7" width="3" hidden="0" customWidth="1"/>
    <x:col min="8" max="8" width="24" hidden="0" customWidth="1"/>
    <x:col min="9" max="9" width="16" hidden="0" customWidth="1"/>
    <x:col min="10" max="10" width="16" hidden="0" customWidth="1"/>
    <x:col min="11" max="11" width="16" hidden="0" customWidth="1"/>
    <x:col min="12" max="12" width="16" hidden="0" customWidth="1"/>
    <x:col min="13" max="13" width="16" hidden="0" customWidth="1"/>
    <x:col min="14" max="14" width="50" hidden="0" customWidth="1"/>
  </x:cols>
  <x:sheetData>
    <x:row r="1">
      <x:c r="A1" s="283" t="str">
        <x:v>Model-Preparation Diagnostics — Correlation, Multicollinearity, Lags, and MSRP Transition Windows</x:v>
      </x:c>
      <x:c r="B1" s="283"/>
      <x:c r="C1" s="283"/>
      <x:c r="D1" s="283"/>
      <x:c r="E1" s="283"/>
      <x:c r="F1" s="283"/>
      <x:c r="G1" s="283"/>
      <x:c r="H1" s="283"/>
      <x:c r="I1" s="283"/>
      <x:c r="J1" s="283"/>
      <x:c r="K1" s="283"/>
      <x:c r="L1" s="283"/>
      <x:c r="M1" s="283"/>
      <x:c r="N1" s="283"/>
    </x:row>
    <x:row r="2">
      <x:c r="A2" s="285" t="str">
        <x:v>These diagnostics identify which monthly variables are worth carrying into formal modeling. They do not establish causation. Because MSRP has only three upward transitions, level correlations are treated cautiously and are supplemented with transition-window analysis.</x:v>
      </x:c>
      <x:c r="B2" s="285"/>
      <x:c r="C2" s="285"/>
      <x:c r="D2" s="285"/>
      <x:c r="E2" s="285"/>
      <x:c r="F2" s="285"/>
      <x:c r="G2" s="285"/>
      <x:c r="H2" s="285"/>
      <x:c r="I2" s="285"/>
      <x:c r="J2" s="285"/>
      <x:c r="K2" s="285"/>
      <x:c r="L2" s="285"/>
      <x:c r="M2" s="285"/>
      <x:c r="N2" s="285"/>
    </x:row>
    <x:row r="4">
      <x:c r="A4" s="288" t="str">
        <x:v>Level Correlation</x:v>
      </x:c>
      <x:c r="B4" s="288" t="str">
        <x:v>Plastics / Resin</x:v>
      </x:c>
      <x:c r="C4" s="288" t="str">
        <x:v>Tooling / Dies</x:v>
      </x:c>
      <x:c r="D4" s="288" t="str">
        <x:v>Paint / Deco</x:v>
      </x:c>
      <x:c r="E4" s="288" t="str">
        <x:v>Packaging Composite</x:v>
      </x:c>
      <x:c r="F4" s="288" t="str">
        <x:v>Deep Sea Freight</x:v>
      </x:c>
      <x:c r="H4" s="294" t="str">
        <x:v>Variable</x:v>
      </x:c>
      <x:c r="I4" s="294" t="str">
        <x:v>Level VIF</x:v>
      </x:c>
      <x:c r="J4" s="294" t="str">
        <x:v>Flag</x:v>
      </x:c>
      <x:c r="K4" s="294" t="str">
        <x:v>Preliminary Treatment</x:v>
      </x:c>
    </x:row>
    <x:row r="5">
      <x:c r="A5" s="20" t="str">
        <x:v>Plastics / Resin</x:v>
      </x:c>
      <x:c r="B5" s="22" t="n">
        <x:v>1</x:v>
      </x:c>
      <x:c r="C5" s="22" t="n">
        <x:v>0.2993</x:v>
      </x:c>
      <x:c r="D5" s="22" t="n">
        <x:v>0.4737</x:v>
      </x:c>
      <x:c r="E5" s="22" t="n">
        <x:v>0.4304</x:v>
      </x:c>
      <x:c r="F5" s="22" t="n">
        <x:v>0.5225</x:v>
      </x:c>
      <x:c r="H5" s="20" t="str">
        <x:v>Plastics / Resin</x:v>
      </x:c>
      <x:c r="I5" s="40" t="n">
        <x:v>1.7435266459187797</x:v>
      </x:c>
      <x:c r="J5" s="20" t="str">
        <x:v>Manageable</x:v>
      </x:c>
      <x:c r="K5" s="20" t="str">
        <x:v>Can remain candidate core variable.</x:v>
      </x:c>
    </x:row>
    <x:row r="6">
      <x:c r="A6" s="20" t="str">
        <x:v>Tooling / Dies</x:v>
      </x:c>
      <x:c r="B6" s="22" t="n">
        <x:v>0.2993</x:v>
      </x:c>
      <x:c r="C6" s="22" t="n">
        <x:v>1</x:v>
      </x:c>
      <x:c r="D6" s="22" t="n">
        <x:v>0.9261</x:v>
      </x:c>
      <x:c r="E6" s="22" t="n">
        <x:v>0.9466</x:v>
      </x:c>
      <x:c r="F6" s="22" t="n">
        <x:v>0.8529</x:v>
      </x:c>
      <x:c r="H6" s="20" t="str">
        <x:v>Tooling / Dies</x:v>
      </x:c>
      <x:c r="I6" s="40" t="n">
        <x:v>12.981704273398833</x:v>
      </x:c>
      <x:c r="J6" s="20" t="str">
        <x:v>Severe</x:v>
      </x:c>
      <x:c r="K6" s="20" t="str">
        <x:v>Do not combine blindly; test alternate specifications / transformations.</x:v>
      </x:c>
    </x:row>
    <x:row r="7">
      <x:c r="A7" s="20" t="str">
        <x:v>Paint / Deco</x:v>
      </x:c>
      <x:c r="B7" s="22" t="n">
        <x:v>0.4737</x:v>
      </x:c>
      <x:c r="C7" s="22" t="n">
        <x:v>0.9261</x:v>
      </x:c>
      <x:c r="D7" s="22" t="n">
        <x:v>1</x:v>
      </x:c>
      <x:c r="E7" s="22" t="n">
        <x:v>0.9948</x:v>
      </x:c>
      <x:c r="F7" s="22" t="n">
        <x:v>0.9345</x:v>
      </x:c>
      <x:c r="H7" s="20" t="str">
        <x:v>Paint / Deco</x:v>
      </x:c>
      <x:c r="I7" s="40" t="n">
        <x:v>167.8176937352784</x:v>
      </x:c>
      <x:c r="J7" s="20" t="str">
        <x:v>Severe</x:v>
      </x:c>
      <x:c r="K7" s="20" t="str">
        <x:v>Do not combine blindly; test alternate specifications / transformations.</x:v>
      </x:c>
    </x:row>
    <x:row r="8">
      <x:c r="A8" s="20" t="str">
        <x:v>Packaging Composite</x:v>
      </x:c>
      <x:c r="B8" s="22" t="n">
        <x:v>0.4304</x:v>
      </x:c>
      <x:c r="C8" s="22" t="n">
        <x:v>0.9466</x:v>
      </x:c>
      <x:c r="D8" s="22" t="n">
        <x:v>0.9948</x:v>
      </x:c>
      <x:c r="E8" s="22" t="n">
        <x:v>1</x:v>
      </x:c>
      <x:c r="F8" s="22" t="n">
        <x:v>0.9213</x:v>
      </x:c>
      <x:c r="H8" s="20" t="str">
        <x:v>Packaging Composite</x:v>
      </x:c>
      <x:c r="I8" s="40" t="n">
        <x:v>188.28316470473663</x:v>
      </x:c>
      <x:c r="J8" s="20" t="str">
        <x:v>Severe</x:v>
      </x:c>
      <x:c r="K8" s="20" t="str">
        <x:v>Do not combine blindly; test alternate specifications / transformations.</x:v>
      </x:c>
    </x:row>
    <x:row r="9">
      <x:c r="A9" s="20" t="str">
        <x:v>Deep Sea Freight</x:v>
      </x:c>
      <x:c r="B9" s="22" t="n">
        <x:v>0.5225</x:v>
      </x:c>
      <x:c r="C9" s="22" t="n">
        <x:v>0.8529</x:v>
      </x:c>
      <x:c r="D9" s="22" t="n">
        <x:v>0.9345</x:v>
      </x:c>
      <x:c r="E9" s="22" t="n">
        <x:v>0.9213</x:v>
      </x:c>
      <x:c r="F9" s="22" t="n">
        <x:v>1</x:v>
      </x:c>
      <x:c r="H9" s="20" t="str">
        <x:v>Deep Sea Freight</x:v>
      </x:c>
      <x:c r="I9" s="40" t="n">
        <x:v>8.695276603424194</x:v>
      </x:c>
      <x:c r="J9" s="20" t="str">
        <x:v>Material</x:v>
      </x:c>
      <x:c r="K9" s="20" t="str">
        <x:v>Do not combine blindly; test alternate specifications / transformations.</x:v>
      </x:c>
    </x:row>
    <x:row r="12">
      <x:c r="A12" s="291" t="str">
        <x:v>Monthly % Change Corr</x:v>
      </x:c>
      <x:c r="B12" s="291" t="str">
        <x:v>Plastics / Resin</x:v>
      </x:c>
      <x:c r="C12" s="291" t="str">
        <x:v>Tooling / Dies</x:v>
      </x:c>
      <x:c r="D12" s="291" t="str">
        <x:v>Paint / Deco</x:v>
      </x:c>
      <x:c r="E12" s="291" t="str">
        <x:v>Packaging Composite</x:v>
      </x:c>
      <x:c r="F12" s="291" t="str">
        <x:v>Deep Sea Freight</x:v>
      </x:c>
      <x:c r="H12" s="297" t="str">
        <x:v>Variable</x:v>
      </x:c>
      <x:c r="I12" s="297" t="str">
        <x:v>0 mo</x:v>
      </x:c>
      <x:c r="J12" s="297" t="str">
        <x:v>3 mo</x:v>
      </x:c>
      <x:c r="K12" s="297" t="str">
        <x:v>6 mo</x:v>
      </x:c>
      <x:c r="L12" s="297" t="str">
        <x:v>9 mo</x:v>
      </x:c>
      <x:c r="M12" s="297" t="str">
        <x:v>12 mo</x:v>
      </x:c>
      <x:c r="N12" s="297" t="str">
        <x:v>Best |corr| lag</x:v>
      </x:c>
      <x:c r="O12" t="str">
        <x:v>Caution</x:v>
      </x:c>
    </x:row>
    <x:row r="13">
      <x:c r="A13" s="20" t="str">
        <x:v>Plastics / Resin</x:v>
      </x:c>
      <x:c r="B13" s="22" t="n">
        <x:v>1</x:v>
      </x:c>
      <x:c r="C13" s="22" t="n">
        <x:v>0.0269</x:v>
      </x:c>
      <x:c r="D13" s="22" t="n">
        <x:v>0.1013</x:v>
      </x:c>
      <x:c r="E13" s="22" t="n">
        <x:v>0.1011</x:v>
      </x:c>
      <x:c r="F13" s="22" t="n">
        <x:v>0.1215</x:v>
      </x:c>
      <x:c r="H13" s="20" t="str">
        <x:v>Plastics / Resin</x:v>
      </x:c>
      <x:c r="I13" s="22" t="n">
        <x:v>0.4742390798870792</x:v>
      </x:c>
      <x:c r="J13" s="22" t="n">
        <x:v>0.5289210751043012</x:v>
      </x:c>
      <x:c r="K13" s="22" t="n">
        <x:v>0.5649488179019713</x:v>
      </x:c>
      <x:c r="L13" s="22" t="n">
        <x:v>0.6122681573624816</x:v>
      </x:c>
      <x:c r="M13" s="22" t="n">
        <x:v>0.6198707507672087</x:v>
      </x:c>
      <x:c r="N13" s="20" t="str">
        <x:v>12 mo</x:v>
      </x:c>
      <x:c r="O13" t="str">
        <x:v>Exploratory only; MSRP is a step function and trending variables can create high level correlations.</x:v>
      </x:c>
    </x:row>
    <x:row r="14">
      <x:c r="A14" s="20" t="str">
        <x:v>Tooling / Dies</x:v>
      </x:c>
      <x:c r="B14" s="22" t="n">
        <x:v>0.0269</x:v>
      </x:c>
      <x:c r="C14" s="22" t="n">
        <x:v>1</x:v>
      </x:c>
      <x:c r="D14" s="22" t="n">
        <x:v>0.2484</x:v>
      </x:c>
      <x:c r="E14" s="22" t="n">
        <x:v>0.2484</x:v>
      </x:c>
      <x:c r="F14" s="22" t="n">
        <x:v>0.159</x:v>
      </x:c>
      <x:c r="H14" s="20" t="str">
        <x:v>Tooling / Dies</x:v>
      </x:c>
      <x:c r="I14" s="22" t="n">
        <x:v>0.9405476469525504</x:v>
      </x:c>
      <x:c r="J14" s="22" t="n">
        <x:v>0.9250069788292868</x:v>
      </x:c>
      <x:c r="K14" s="22" t="n">
        <x:v>0.8994034618314181</x:v>
      </x:c>
      <x:c r="L14" s="22" t="n">
        <x:v>0.8659434010424064</x:v>
      </x:c>
      <x:c r="M14" s="22" t="n">
        <x:v>0.8303928815527182</x:v>
      </x:c>
      <x:c r="N14" s="20" t="str">
        <x:v>0 mo</x:v>
      </x:c>
      <x:c r="O14" t="str">
        <x:v>Exploratory only; MSRP is a step function and trending variables can create high level correlations.</x:v>
      </x:c>
    </x:row>
    <x:row r="15">
      <x:c r="A15" s="20" t="str">
        <x:v>Paint / Deco</x:v>
      </x:c>
      <x:c r="B15" s="22" t="n">
        <x:v>0.1013</x:v>
      </x:c>
      <x:c r="C15" s="22" t="n">
        <x:v>0.2484</x:v>
      </x:c>
      <x:c r="D15" s="22" t="n">
        <x:v>1</x:v>
      </x:c>
      <x:c r="E15" s="22" t="n">
        <x:v>0.536</x:v>
      </x:c>
      <x:c r="F15" s="22" t="n">
        <x:v>0.221</x:v>
      </x:c>
      <x:c r="H15" s="20" t="str">
        <x:v>Paint / Deco</x:v>
      </x:c>
      <x:c r="I15" s="22" t="n">
        <x:v>0.9606318988705237</x:v>
      </x:c>
      <x:c r="J15" s="22" t="n">
        <x:v>0.9425109924053411</x:v>
      </x:c>
      <x:c r="K15" s="22" t="n">
        <x:v>0.9083198222162676</x:v>
      </x:c>
      <x:c r="L15" s="22" t="n">
        <x:v>0.8689828043639892</x:v>
      </x:c>
      <x:c r="M15" s="22" t="n">
        <x:v>0.8260747348999734</x:v>
      </x:c>
      <x:c r="N15" s="20" t="str">
        <x:v>0 mo</x:v>
      </x:c>
      <x:c r="O15" t="str">
        <x:v>Exploratory only; MSRP is a step function and trending variables can create high level correlations.</x:v>
      </x:c>
    </x:row>
    <x:row r="16">
      <x:c r="A16" s="20" t="str">
        <x:v>Packaging Composite</x:v>
      </x:c>
      <x:c r="B16" s="22" t="n">
        <x:v>0.1011</x:v>
      </x:c>
      <x:c r="C16" s="22" t="n">
        <x:v>0.2484</x:v>
      </x:c>
      <x:c r="D16" s="22" t="n">
        <x:v>0.536</x:v>
      </x:c>
      <x:c r="E16" s="22" t="n">
        <x:v>1</x:v>
      </x:c>
      <x:c r="F16" s="22" t="n">
        <x:v>0.317</x:v>
      </x:c>
      <x:c r="H16" s="20" t="str">
        <x:v>Packaging Composite</x:v>
      </x:c>
      <x:c r="I16" s="22" t="n">
        <x:v>0.955842292115043</x:v>
      </x:c>
      <x:c r="J16" s="22" t="n">
        <x:v>0.9387097318664943</x:v>
      </x:c>
      <x:c r="K16" s="22" t="n">
        <x:v>0.9133383055372071</x:v>
      </x:c>
      <x:c r="L16" s="22" t="n">
        <x:v>0.87611539879828</x:v>
      </x:c>
      <x:c r="M16" s="22" t="n">
        <x:v>0.8318177834903628</x:v>
      </x:c>
      <x:c r="N16" s="20" t="str">
        <x:v>0 mo</x:v>
      </x:c>
      <x:c r="O16" t="str">
        <x:v>Exploratory only; MSRP is a step function and trending variables can create high level correlations.</x:v>
      </x:c>
    </x:row>
    <x:row r="17">
      <x:c r="A17" s="20" t="str">
        <x:v>Deep Sea Freight</x:v>
      </x:c>
      <x:c r="B17" s="22" t="n">
        <x:v>0.1215</x:v>
      </x:c>
      <x:c r="C17" s="22" t="n">
        <x:v>0.159</x:v>
      </x:c>
      <x:c r="D17" s="22" t="n">
        <x:v>0.221</x:v>
      </x:c>
      <x:c r="E17" s="22" t="n">
        <x:v>0.317</x:v>
      </x:c>
      <x:c r="F17" s="22" t="n">
        <x:v>1</x:v>
      </x:c>
      <x:c r="H17" s="20" t="str">
        <x:v>Deep Sea Freight</x:v>
      </x:c>
      <x:c r="I17" s="22" t="n">
        <x:v>0.9144526096980155</x:v>
      </x:c>
      <x:c r="J17" s="22" t="n">
        <x:v>0.8682032731483265</x:v>
      </x:c>
      <x:c r="K17" s="22" t="n">
        <x:v>0.8108989950685986</x:v>
      </x:c>
      <x:c r="L17" s="22" t="n">
        <x:v>0.7564576228456082</x:v>
      </x:c>
      <x:c r="M17" s="22" t="n">
        <x:v>0.705554277496343</x:v>
      </x:c>
      <x:c r="N17" s="20" t="str">
        <x:v>0 mo</x:v>
      </x:c>
      <x:c r="O17" t="str">
        <x:v>Exploratory only; MSRP is a step function and trending variables can create high level correlations.</x:v>
      </x:c>
    </x:row>
    <x:row r="18">
      <x:c r="H18" s="20" t="str">
        <x:v>Demand YoY</x:v>
      </x:c>
      <x:c r="I18" s="22" t="n">
        <x:v>-0.07650179566152551</x:v>
      </x:c>
      <x:c r="J18" s="22" t="n">
        <x:v>0.022103874415727445</x:v>
      </x:c>
      <x:c r="K18" s="22" t="n">
        <x:v>0.04972247144828166</x:v>
      </x:c>
      <x:c r="L18" s="22" t="n">
        <x:v>0.03406827906073842</x:v>
      </x:c>
      <x:c r="M18" s="22" t="n">
        <x:v>0.11410006606191028</x:v>
      </x:c>
      <x:c r="N18" s="20" t="str">
        <x:v>12 mo</x:v>
      </x:c>
      <x:c r="O18" t="str">
        <x:v>Exploratory only; MSRP is a step function and trending variables can create high level correlations.</x:v>
      </x:c>
    </x:row>
    <x:row r="19">
      <x:c r="H19" s="20" t="str">
        <x:v>USD/CNY</x:v>
      </x:c>
      <x:c r="I19" s="22" t="n">
        <x:v>0.3317934833694379</x:v>
      </x:c>
      <x:c r="J19" s="22" t="n">
        <x:v>0.297996195615541</x:v>
      </x:c>
      <x:c r="K19" s="22" t="n">
        <x:v>0.26211872756672155</x:v>
      </x:c>
      <x:c r="L19" s="22" t="n">
        <x:v>0.23014313900007957</x:v>
      </x:c>
      <x:c r="M19" s="22" t="n">
        <x:v>0.18945025523627404</x:v>
      </x:c>
      <x:c r="N19" s="20" t="str">
        <x:v>0 mo</x:v>
      </x:c>
      <x:c r="O19" t="str">
        <x:v>Exploratory only; MSRP is a step function and trending variables can create high level correlations.</x:v>
      </x:c>
    </x:row>
    <x:row r="21">
      <x:c r="A21" s="300" t="str">
        <x:v>MSRP Transition</x:v>
      </x:c>
      <x:c r="B21" s="300" t="str">
        <x:v>Window (months)</x:v>
      </x:c>
      <x:c r="C21" s="300" t="str">
        <x:v>Plastics / Resin</x:v>
      </x:c>
      <x:c r="D21" s="300" t="str">
        <x:v>Tooling / Dies</x:v>
      </x:c>
      <x:c r="E21" s="300" t="str">
        <x:v>Paint / Deco</x:v>
      </x:c>
      <x:c r="F21" s="300" t="str">
        <x:v>Packaging Composite</x:v>
      </x:c>
      <x:c r="G21" s="300" t="str">
        <x:v>Deep Sea Freight</x:v>
      </x:c>
      <x:c r="H21" s="300" t="str">
        <x:v>Avg Demand YoY</x:v>
      </x:c>
    </x:row>
    <x:row r="22">
      <x:c r="A22" s="20" t="str">
        <x:v>Jul 2021</x:v>
      </x:c>
      <x:c r="B22" s="20" t="n">
        <x:v>6</x:v>
      </x:c>
      <x:c r="C22" s="23" t="n">
        <x:v>0.34009942004971006</x:v>
      </x:c>
      <x:c r="D22" s="23" t="n">
        <x:v>0.026799789805570073</x:v>
      </x:c>
      <x:c r="E22" s="23" t="n">
        <x:v>0.06070713809206141</x:v>
      </x:c>
      <x:c r="F22" s="23" t="n">
        <x:v>0.03521939258101381</x:v>
      </x:c>
      <x:c r="G22" s="23" t="n">
        <x:v>0.17673768774013254</x:v>
      </x:c>
      <x:c r="H22" s="23" t="n">
        <x:v>0.9431025102658014</x:v>
      </x:c>
    </x:row>
    <x:row r="23">
      <x:c r="A23" s="20" t="str">
        <x:v>Jul 2021</x:v>
      </x:c>
      <x:c r="B23" s="20" t="n">
        <x:v>12</x:v>
      </x:c>
      <x:c r="C23" s="23" t="n">
        <x:v>0.5772793759141883</x:v>
      </x:c>
      <x:c r="D23" s="23" t="n">
        <x:v>0.02950474183350882</x:v>
      </x:c>
      <x:c r="E23" s="23" t="n">
        <x:v>0.061415220293724815</x:v>
      </x:c>
      <x:c r="F23" s="23" t="n">
        <x:v>0.051114483735923644</x:v>
      </x:c>
      <x:c r="G23" s="23" t="n">
        <x:v>0.16735966735966712</x:v>
      </x:c>
      <x:c r="H23" s="23" t="n">
        <x:v>0.561029973165976</x:v>
      </x:c>
    </x:row>
    <x:row r="24">
      <x:c r="A24" s="20" t="str">
        <x:v>Apr 2022</x:v>
      </x:c>
      <x:c r="B24" s="20" t="n">
        <x:v>6</x:v>
      </x:c>
      <x:c r="C24" s="23" t="n">
        <x:v>-0.08173438093807162</x:v>
      </x:c>
      <x:c r="D24" s="23" t="n">
        <x:v>0.043432266523630636</x:v>
      </x:c>
      <x:c r="E24" s="23" t="n">
        <x:v>0.09203827470511317</x:v>
      </x:c>
      <x:c r="F24" s="23" t="n">
        <x:v>0.060933573570678634</x:v>
      </x:c>
      <x:c r="G24" s="23" t="n">
        <x:v>-0.001090063330157487</x:v>
      </x:c>
      <x:c r="H24" s="23" t="n">
        <x:v>0.03683537889793059</x:v>
      </x:c>
    </x:row>
    <x:row r="25">
      <x:c r="A25" s="20" t="str">
        <x:v>Apr 2022</x:v>
      </x:c>
      <x:c r="B25" s="20" t="n">
        <x:v>12</x:v>
      </x:c>
      <x:c r="C25" s="23" t="n">
        <x:v>0.036226728723404156</x:v>
      </x:c>
      <x:c r="D25" s="23" t="n">
        <x:v>0.09366475793857365</x:v>
      </x:c>
      <x:c r="E25" s="23" t="n">
        <x:v>0.18269692058346854</x:v>
      </x:c>
      <x:c r="F25" s="23" t="n">
        <x:v>0.1452002870568887</x:v>
      </x:c>
      <x:c r="G25" s="23" t="n">
        <x:v>0.15176413570274638</x:v>
      </x:c>
      <x:c r="H25" s="23" t="n">
        <x:v>0.3885893024529836</x:v>
      </x:c>
    </x:row>
    <x:row r="26">
      <x:c r="A26" s="20" t="str">
        <x:v>Sep 2025</x:v>
      </x:c>
      <x:c r="B26" s="20" t="n">
        <x:v>6</x:v>
      </x:c>
      <x:c r="C26" s="23" t="n">
        <x:v>-0.0419023621589828</x:v>
      </x:c>
      <x:c r="D26" s="23" t="n">
        <x:v>0.020651353843574416</x:v>
      </x:c>
      <x:c r="E26" s="23" t="n">
        <x:v>0.026723119338322165</x:v>
      </x:c>
      <x:c r="F26" s="23" t="n">
        <x:v>0.02018730560563009</x:v>
      </x:c>
      <x:c r="G26" s="23" t="n">
        <x:v>-0.0553341814220476</x:v>
      </x:c>
      <x:c r="H26" s="23" t="n">
        <x:v>0.15028658263322336</x:v>
      </x:c>
    </x:row>
    <x:row r="27">
      <x:c r="A27" s="20" t="str">
        <x:v>Sep 2025</x:v>
      </x:c>
      <x:c r="B27" s="20" t="n">
        <x:v>12</x:v>
      </x:c>
      <x:c r="C27" s="23" t="n">
        <x:v>-0.00959683533376876</x:v>
      </x:c>
      <x:c r="D27" s="23" t="n">
        <x:v>0.048370014465798805</x:v>
      </x:c>
      <x:c r="E27" s="23" t="n">
        <x:v>0.036423001804004596</x:v>
      </x:c>
      <x:c r="F27" s="23" t="n">
        <x:v>0.031176812679422072</x:v>
      </x:c>
      <x:c r="G27" s="23" t="n">
        <x:v>-0.05178839534423407</x:v>
      </x:c>
      <x:c r="H27" s="23" t="n">
        <x:v>0.0896333073474805</x:v>
      </x:c>
    </x:row>
    <x:row r="31">
      <x:c r="A31" s="303" t="str">
        <x:v>Diagnostic</x:v>
      </x:c>
      <x:c r="B31" s="303" t="str">
        <x:v>Finding</x:v>
      </x:c>
      <x:c r="C31" s="303" t="str">
        <x:v>Implication</x:v>
      </x:c>
      <x:c r="D31" s="303" t="str">
        <x:v>Decision</x:v>
      </x:c>
    </x:row>
    <x:row r="32">
      <x:c r="A32" s="20" t="str">
        <x:v>Supply-variable levels</x:v>
      </x:c>
      <x:c r="B32" s="20" t="str">
        <x:v>Pairwise level correlations range from 0.30 to 0.99.</x:v>
      </x:c>
      <x:c r="C32" s="20" t="str">
        <x:v>Several inputs share broad inflation/supply-chain trends.</x:v>
      </x:c>
      <x:c r="D32" s="20" t="str">
        <x:v>Do not interpret a single high level correlation with MSRP as causal evidence.</x:v>
      </x:c>
    </x:row>
    <x:row r="33">
      <x:c r="A33" s="20" t="str">
        <x:v>Month-to-month changes</x:v>
      </x:c>
      <x:c r="B33" s="20" t="str">
        <x:v>Maximum absolute pairwise monthly-change correlation is about 0.54.</x:v>
      </x:c>
      <x:c r="C33" s="20" t="str">
        <x:v>Short-run shocks are much less synchronized than long-run levels.</x:v>
      </x:c>
      <x:c r="D33" s="20" t="str">
        <x:v>Use changes/transition windows as robustness against shared-trend bias.</x:v>
      </x:c>
    </x:row>
    <x:row r="34">
      <x:c r="A34" s="20" t="str">
        <x:v>Lag correlations</x:v>
      </x:c>
      <x:c r="B34" s="20" t="str">
        <x:v>Some variables may show stronger correlation with later MSRP than same-month MSRP.</x:v>
      </x:c>
      <x:c r="C34" s="20" t="str">
        <x:v>Potential production/pricing delay is plausible.</x:v>
      </x:c>
      <x:c r="D34" s="20" t="str">
        <x:v>Carry plausible 3/6/9/12-month lags into model comparison, not just the single best lag.</x:v>
      </x:c>
    </x:row>
    <x:row r="35">
      <x:c r="A35" s="20" t="str">
        <x:v>MSRP transition windows</x:v>
      </x:c>
      <x:c r="B35" s="20" t="str">
        <x:v>Only three actual upward price decisions are observed.</x:v>
      </x:c>
      <x:c r="C35" s="20" t="str">
        <x:v>Accumulated cost pressure before each transition is a critical companion to regression.</x:v>
      </x:c>
      <x:c r="D35" s="20" t="str">
        <x:v>Make transition-window evidence part of the main empirical results, not only an appendix diagnostic.</x:v>
      </x:c>
    </x:row>
  </x:sheetData>
  <x:mergeCells>
    <x:mergeCell ref="A1:N1"/>
    <x:mergeCell ref="A2:N2"/>
  </x:mergeCells>
  <x:pageMargins left="0.7" right="0.7" top="0.75" bottom="0.75" header="0.3" footer="0.3"/>
</x:worksheet>
</file>

<file path=xl/worksheets/sheet23.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 min="8" max="8" width="4" hidden="0" customWidth="1"/>
    <x:col min="9" max="9" width="24" hidden="0" customWidth="1"/>
    <x:col min="10" max="10" width="18" hidden="0" customWidth="1"/>
    <x:col min="11" max="11" width="18" hidden="0" customWidth="1"/>
    <x:col min="12" max="12" width="18" hidden="0" customWidth="1"/>
    <x:col min="13" max="13" width="18" hidden="0" customWidth="1"/>
    <x:col min="14" max="14" width="46" hidden="0" customWidth="1"/>
  </x:cols>
  <x:sheetData>
    <x:row r="1">
      <x:c r="A1" s="307" t="str">
        <x:v>Exploratory Regression Analysis — Marvel Legends MSRP vs. Production-Cost Pressure</x:v>
      </x:c>
      <x:c r="B1" s="307"/>
      <x:c r="C1" s="307"/>
      <x:c r="D1" s="307"/>
      <x:c r="E1" s="307"/>
      <x:c r="F1" s="307"/>
      <x:c r="G1" s="307"/>
      <x:c r="H1" s="307"/>
      <x:c r="I1" s="307"/>
      <x:c r="J1" s="307"/>
      <x:c r="K1" s="307"/>
      <x:c r="L1" s="307"/>
      <x:c r="M1" s="307"/>
      <x:c r="N1" s="307"/>
    </x:row>
    <x:row r="2">
      <x:c r="A2" s="309" t="str">
        <x:v>Preferred exploratory models use 12-month percentage changes rather than raw price-index levels. This reduces shared-trend bias and severe multicollinearity. HAC/Newey-West standard errors with 12 lags are used because overlapping annual-change windows create serial dependence. Results show association, not causal pass-through or Marvel Legends-specific cost allocation.</x:v>
      </x:c>
      <x:c r="B2" s="309"/>
      <x:c r="C2" s="309"/>
      <x:c r="D2" s="309"/>
      <x:c r="E2" s="309"/>
      <x:c r="F2" s="309"/>
      <x:c r="G2" s="309"/>
      <x:c r="H2" s="309"/>
      <x:c r="I2" s="309"/>
      <x:c r="J2" s="309"/>
      <x:c r="K2" s="309"/>
      <x:c r="L2" s="309"/>
      <x:c r="M2" s="309"/>
      <x:c r="N2" s="309"/>
    </x:row>
    <x:row r="4">
      <x:c r="A4" s="312" t="str">
        <x:v>Model</x:v>
      </x:c>
      <x:c r="B4" s="312" t="str">
        <x:v>Dependent Variable</x:v>
      </x:c>
      <x:c r="C4" s="312" t="str">
        <x:v>N</x:v>
      </x:c>
      <x:c r="D4" s="312" t="str">
        <x:v>R²</x:v>
      </x:c>
      <x:c r="E4" s="312" t="str">
        <x:v>Adj. R²</x:v>
      </x:c>
      <x:c r="F4" s="312" t="str">
        <x:v>Max VIF</x:v>
      </x:c>
      <x:c r="G4" s="312" t="str">
        <x:v>Status</x:v>
      </x:c>
      <x:c r="H4" s="312" t="str">
        <x:v>Why</x:v>
      </x:c>
    </x:row>
    <x:row r="5">
      <x:c r="A5" s="20" t="str">
        <x:v>A1 Reduced annual-change</x:v>
      </x:c>
      <x:c r="B5" s="20" t="str">
        <x:v>12-mo MSRP % change</x:v>
      </x:c>
      <x:c r="C5" s="20" t="n">
        <x:v>79</x:v>
      </x:c>
      <x:c r="D5" s="22" t="n">
        <x:v>0.6298457407399287</x:v>
      </x:c>
      <x:c r="E5" s="22" t="n">
        <x:v>0.6098374024015465</x:v>
      </x:c>
      <x:c r="F5" s="40" t="n">
        <x:v>2.2865309362513635</x:v>
      </x:c>
      <x:c r="G5" s="20" t="str">
        <x:v>Preferred exploratory</x:v>
      </x:c>
      <x:c r="H5" s="20" t="str">
        <x:v>Keeps resin, tooling and freight separate while VIFs remain manageable.</x:v>
      </x:c>
    </x:row>
    <x:row r="6">
      <x:c r="A6" s="20" t="str">
        <x:v>A2 Packaging alternative</x:v>
      </x:c>
      <x:c r="B6" s="20" t="str">
        <x:v>12-mo MSRP % change</x:v>
      </x:c>
      <x:c r="C6" s="20" t="n">
        <x:v>79</x:v>
      </x:c>
      <x:c r="D6" s="22" t="n">
        <x:v>0.593961763608942</x:v>
      </x:c>
      <x:c r="E6" s="22" t="n">
        <x:v>0.572013750831047</x:v>
      </x:c>
      <x:c r="F6" s="40" t="n">
        <x:v>3.6532022074299193</x:v>
      </x:c>
      <x:c r="G6" s="20" t="str">
        <x:v>Robustness / alternate</x:v>
      </x:c>
      <x:c r="H6" s="20" t="str">
        <x:v>Checks whether packaging changes the story when substituted for tooling.</x:v>
      </x:c>
    </x:row>
    <x:row r="7">
      <x:c r="A7" s="20" t="str">
        <x:v>A3 Broad-cost composite</x:v>
      </x:c>
      <x:c r="B7" s="20" t="str">
        <x:v>12-mo MSRP % change</x:v>
      </x:c>
      <x:c r="C7" s="20" t="n">
        <x:v>79</x:v>
      </x:c>
      <x:c r="D7" s="22" t="n">
        <x:v>0.6220654664060943</x:v>
      </x:c>
      <x:c r="E7" s="22" t="n">
        <x:v>0.6069480850623381</x:v>
      </x:c>
      <x:c r="F7" s="40" t="n">
        <x:v>1.230540388989609</x:v>
      </x:c>
      <x:c r="G7" s="20" t="str">
        <x:v>Robustness / alternate</x:v>
      </x:c>
      <x:c r="H7" s="20" t="str">
        <x:v>Collapses correlated non-resin production pressures into one transparent factor.</x:v>
      </x:c>
    </x:row>
    <x:row r="8">
      <x:c r="A8" s="20" t="str">
        <x:v>L0 Full level diagnostic</x:v>
      </x:c>
      <x:c r="B8" s="20" t="str">
        <x:v>MSRP level index</x:v>
      </x:c>
      <x:c r="C8" s="20" t="n">
        <x:v>91</x:v>
      </x:c>
      <x:c r="D8" s="22" t="n">
        <x:v>0.9585451977198512</x:v>
      </x:c>
      <x:c r="E8" s="22" t="n">
        <x:v>0.9555841404141263</x:v>
      </x:c>
      <x:c r="F8" s="40" t="n">
        <x:v>185.10469604059523</x:v>
      </x:c>
      <x:c r="G8" s="20" t="str">
        <x:v>Diagnostic only</x:v>
      </x:c>
      <x:c r="H8" s="20" t="str">
        <x:v>Very high R² but severe multicollinearity/shared trend; demonstrates why raw levels are not the preferred model.</x:v>
      </x:c>
    </x:row>
    <x:row r="11">
      <x:c r="A11" s="315" t="str">
        <x:v>A1 Variable</x:v>
      </x:c>
      <x:c r="B11" s="315" t="str">
        <x:v>Raw Coefficient</x:v>
      </x:c>
      <x:c r="C11" s="315" t="str">
        <x:v>HAC Std. Error</x:v>
      </x:c>
      <x:c r="D11" s="315" t="str">
        <x:v>p-value</x:v>
      </x:c>
      <x:c r="E11" s="315" t="str">
        <x:v>Standardized Beta</x:v>
      </x:c>
      <x:c r="F11" s="315" t="str">
        <x:v>VIF</x:v>
      </x:c>
      <x:c r="G11" s="315" t="str">
        <x:v>Interpretation</x:v>
      </x:c>
      <x:c r="I11" s="318" t="str">
        <x:v>Model</x:v>
      </x:c>
      <x:c r="J11" s="318" t="str">
        <x:v>Variable</x:v>
      </x:c>
      <x:c r="K11" s="318" t="str">
        <x:v>Raw Coefficient</x:v>
      </x:c>
      <x:c r="L11" s="318" t="str">
        <x:v>p-value</x:v>
      </x:c>
      <x:c r="M11" s="318" t="str">
        <x:v>Std. Beta</x:v>
      </x:c>
      <x:c r="N11" s="318" t="str">
        <x:v>What This Check Shows</x:v>
      </x:c>
    </x:row>
    <x:row r="12">
      <x:c r="A12" s="20" t="str">
        <x:v>Constant</x:v>
      </x:c>
      <x:c r="B12" s="22" t="n">
        <x:v>0.005322365925586181</x:v>
      </x:c>
      <x:c r="C12" s="22" t="n">
        <x:v>0.011995344227334191</x:v>
      </x:c>
      <x:c r="D12" s="22" t="n">
        <x:v>0.6572575850636541</x:v>
      </x:c>
      <x:c r="E12" s="22"/>
      <x:c r="F12" s="40"/>
      <x:c r="G12" s="20" t="str">
        <x:v>Intercept; not economically interpreted.</x:v>
      </x:c>
      <x:c r="I12" s="20" t="str">
        <x:v>A2 Packaging alternative</x:v>
      </x:c>
      <x:c r="J12" s="20" t="str">
        <x:v>Resin YoY</x:v>
      </x:c>
      <x:c r="K12" s="22" t="n">
        <x:v>0.05100269594144614</x:v>
      </x:c>
      <x:c r="L12" s="22" t="n">
        <x:v>0.29036094985320926</x:v>
      </x:c>
      <x:c r="M12" s="22" t="n">
        <x:v>0.14480569415904054</x:v>
      </x:c>
      <x:c r="N12" s="20" t="str">
        <x:v>Robustness coefficient; do not interpret as causal.</x:v>
      </x:c>
    </x:row>
    <x:row r="13">
      <x:c r="A13" s="20" t="str">
        <x:v>Resin YoY</x:v>
      </x:c>
      <x:c r="B13" s="22" t="n">
        <x:v>0.06101371732197641</x:v>
      </x:c>
      <x:c r="C13" s="22" t="n">
        <x:v>0.036132501548856936</x:v>
      </x:c>
      <x:c r="D13" s="22" t="n">
        <x:v>0.09129411936607003</x:v>
      </x:c>
      <x:c r="E13" s="22" t="n">
        <x:v>0.17322875834202026</x:v>
      </x:c>
      <x:c r="F13" s="40" t="n">
        <x:v>1.3741556561152724</x:v>
      </x:c>
      <x:c r="G13" s="20" t="str">
        <x:v>Positive but weaker/borderline association once other cost pressures are included.</x:v>
      </x:c>
      <x:c r="I13" s="20" t="str">
        <x:v>A2 Packaging alternative</x:v>
      </x:c>
      <x:c r="J13" s="20" t="str">
        <x:v>Packaging YoY</x:v>
      </x:c>
      <x:c r="K13" s="22" t="n">
        <x:v>0.24629834479067608</x:v>
      </x:c>
      <x:c r="L13" s="22" t="n">
        <x:v>0.3765674826431251</x:v>
      </x:c>
      <x:c r="M13" s="22" t="n">
        <x:v>0.20619553416926256</x:v>
      </x:c>
      <x:c r="N13" s="20" t="str">
        <x:v>Robustness coefficient; do not interpret as causal.</x:v>
      </x:c>
    </x:row>
    <x:row r="14">
      <x:c r="A14" s="20" t="str">
        <x:v>Tooling YoY</x:v>
      </x:c>
      <x:c r="B14" s="22" t="n">
        <x:v>0.773132433311908</x:v>
      </x:c>
      <x:c r="C14" s="22" t="n">
        <x:v>0.37842082515252945</x:v>
      </x:c>
      <x:c r="D14" s="22" t="n">
        <x:v>0.0410475498498</x:v>
      </x:c>
      <x:c r="E14" s="22" t="n">
        <x:v>0.3150166531266756</x:v>
      </x:c>
      <x:c r="F14" s="40" t="n">
        <x:v>2.034583687937511</x:v>
      </x:c>
      <x:c r="G14" s="20" t="str">
        <x:v>Positive association that remains statistically meaningful with robust errors.</x:v>
      </x:c>
      <x:c r="I14" s="20" t="str">
        <x:v>A2 Packaging alternative</x:v>
      </x:c>
      <x:c r="J14" s="20" t="str">
        <x:v>Freight YoY</x:v>
      </x:c>
      <x:c r="K14" s="22" t="n">
        <x:v>0.2642179153990599</x:v>
      </x:c>
      <x:c r="L14" s="22" t="n">
        <x:v>0.008623286379438001</x:v>
      </x:c>
      <x:c r="M14" s="22" t="n">
        <x:v>0.5328267641841222</x:v>
      </x:c>
      <x:c r="N14" s="20" t="str">
        <x:v>Freight remains positive when packaging replaces tooling.</x:v>
      </x:c>
    </x:row>
    <x:row r="15">
      <x:c r="A15" s="20" t="str">
        <x:v>Freight YoY</x:v>
      </x:c>
      <x:c r="B15" s="22" t="n">
        <x:v>0.23691901520591874</x:v>
      </x:c>
      <x:c r="C15" s="22" t="n">
        <x:v>0.06934801488102563</x:v>
      </x:c>
      <x:c r="D15" s="22" t="n">
        <x:v>0.0006346014947102416</x:v>
      </x:c>
      <x:c r="E15" s="22" t="n">
        <x:v>0.4777752941362721</x:v>
      </x:c>
      <x:c r="F15" s="40" t="n">
        <x:v>2.2865309362513635</x:v>
      </x:c>
      <x:c r="G15" s="20" t="str">
        <x:v>Strong positive association in this specification; not literal freight pass-through.</x:v>
      </x:c>
      <x:c r="I15" s="20" t="str">
        <x:v>A2 Packaging alternative</x:v>
      </x:c>
      <x:c r="J15" s="20" t="str">
        <x:v>Demand YoY</x:v>
      </x:c>
      <x:c r="K15" s="22" t="n">
        <x:v>-0.015589299932369863</x:v>
      </x:c>
      <x:c r="L15" s="22" t="n">
        <x:v>0.07873829726609828</x:v>
      </x:c>
      <x:c r="M15" s="22" t="n">
        <x:v>-0.09481730895773544</x:v>
      </x:c>
      <x:c r="N15" s="20" t="str">
        <x:v>Robustness coefficient; do not interpret as causal.</x:v>
      </x:c>
    </x:row>
    <x:row r="16">
      <x:c r="A16" s="20" t="str">
        <x:v>Demand YoY</x:v>
      </x:c>
      <x:c r="B16" s="22" t="n">
        <x:v>-0.012575924722188186</x:v>
      </x:c>
      <x:c r="C16" s="22" t="n">
        <x:v>0.008580967389637066</x:v>
      </x:c>
      <x:c r="D16" s="22" t="n">
        <x:v>0.14276812678030928</x:v>
      </x:c>
      <x:c r="E16" s="22" t="n">
        <x:v>-0.07648934493440573</x:v>
      </x:c>
      <x:c r="F16" s="40" t="n">
        <x:v>1.162018011268562</x:v>
      </x:c>
      <x:c r="G16" s="20" t="str">
        <x:v>Small negative coefficient and not robustly significant; broad proxy is noisy.</x:v>
      </x:c>
      <x:c r="I16" s="20" t="str">
        <x:v>A3 Broad-cost composite</x:v>
      </x:c>
      <x:c r="J16" s="20" t="str">
        <x:v>Resin YoY</x:v>
      </x:c>
      <x:c r="K16" s="22" t="n">
        <x:v>0.06254963382420388</x:v>
      </x:c>
      <x:c r="L16" s="22" t="n">
        <x:v>0.13383833454876917</x:v>
      </x:c>
      <x:c r="M16" s="22" t="n">
        <x:v>0.1775894975376642</x:v>
      </x:c>
      <x:c r="N16" s="20" t="str">
        <x:v>Robustness coefficient; do not interpret as causal.</x:v>
      </x:c>
    </x:row>
    <x:row r="17">
      <x:c r="I17" s="20" t="str">
        <x:v>A3 Broad-cost composite</x:v>
      </x:c>
      <x:c r="J17" s="20" t="str">
        <x:v>Broad Cost YoY</x:v>
      </x:c>
      <x:c r="K17" s="22" t="n">
        <x:v>0.7075693056424096</x:v>
      </x:c>
      <x:c r="L17" s="22" t="n">
        <x:v>8.973029980160055e-12</x:v>
      </x:c>
      <x:c r="M17" s="22" t="n">
        <x:v>0.7224858584176019</x:v>
      </x:c>
      <x:c r="N17" s="20" t="str">
        <x:v>Broad correlated production-cost inflation is strongly associated with MSRP inflation.</x:v>
      </x:c>
    </x:row>
    <x:row r="18">
      <x:c r="I18" s="20" t="str">
        <x:v>A3 Broad-cost composite</x:v>
      </x:c>
      <x:c r="J18" s="20" t="str">
        <x:v>Demand YoY</x:v>
      </x:c>
      <x:c r="K18" s="22" t="n">
        <x:v>-0.014351527168583083</x:v>
      </x:c>
      <x:c r="L18" s="22" t="n">
        <x:v>0.13112184077295472</x:v>
      </x:c>
      <x:c r="M18" s="22" t="n">
        <x:v>-0.08728892198252841</x:v>
      </x:c>
      <x:c r="N18" s="20" t="str">
        <x:v>Robustness coefficient; do not interpret as causal.</x:v>
      </x:c>
    </x:row>
    <x:row r="20">
      <x:c r="A20" s="321" t="str">
        <x:v>Naive Level-Model Warning</x:v>
      </x:c>
      <x:c r="B20" s="321" t="str">
        <x:v>Value / Example</x:v>
      </x:c>
      <x:c r="C20" s="321" t="str">
        <x:v>Why It Happens</x:v>
      </x:c>
      <x:c r="D20" s="321" t="str">
        <x:v>Why It Is Dangerous</x:v>
      </x:c>
      <x:c r="E20" s="321" t="str">
        <x:v>Treatment</x:v>
      </x:c>
      <x:c r="F20" s="321" t="str">
        <x:v>Paper Use</x:v>
      </x:c>
      <x:c r="G20" s="321" t="str">
        <x:v>Status</x:v>
      </x:c>
    </x:row>
    <x:row r="21">
      <x:c r="A21" s="20" t="str">
        <x:v>Raw level model R²</x:v>
      </x:c>
      <x:c r="B21" s="22" t="n">
        <x:v>0.9585451977198512</x:v>
      </x:c>
      <x:c r="C21" s="20" t="str">
        <x:v>MSRP and most cost indexes trend upward over the same multi-year period.</x:v>
      </x:c>
      <x:c r="D21" s="20" t="str">
        <x:v>A high R² can look convincing even when it mainly reflects time trend.</x:v>
      </x:c>
      <x:c r="E21" s="20" t="str">
        <x:v>Prefer annual-change models and transition windows.</x:v>
      </x:c>
      <x:c r="F21" s="20" t="str">
        <x:v>Methodological caution / appendix.</x:v>
      </x:c>
      <x:c r="G21" s="20" t="str">
        <x:v>Do not use as headline result.</x:v>
      </x:c>
    </x:row>
    <x:row r="22">
      <x:c r="A22" s="20" t="str">
        <x:v>Paint vs packaging instability</x:v>
      </x:c>
      <x:c r="B22" s="20" t="str">
        <x:v>Standardized betas: paint 1.51, packaging -1.28</x:v>
      </x:c>
      <x:c r="C22" s="20" t="str">
        <x:v>Paint and packaging levels are almost perfectly correlated.</x:v>
      </x:c>
      <x:c r="D22" s="20" t="str">
        <x:v>Regression can assign opposite signs to nearly duplicate trends.</x:v>
      </x:c>
      <x:c r="E22" s="20" t="str">
        <x:v>Never interpret these level coefficients as independent economic effects.</x:v>
      </x:c>
      <x:c r="F22" s="20" t="str">
        <x:v>Example of multicollinearity problem.</x:v>
      </x:c>
      <x:c r="G22" s="20" t="str">
        <x:v>Diagnostic only.</x:v>
      </x:c>
    </x:row>
    <x:row r="23">
      <x:c r="A23" s="20" t="str">
        <x:v>Max level-model VIF</x:v>
      </x:c>
      <x:c r="B23" s="40" t="n">
        <x:v>185.10469604059523</x:v>
      </x:c>
      <x:c r="C23" s="20" t="str">
        <x:v>Severe predictor overlap.</x:v>
      </x:c>
      <x:c r="D23" s="20" t="str">
        <x:v>Coefficient magnitudes/signs become unstable.</x:v>
      </x:c>
      <x:c r="E23" s="20" t="str">
        <x:v>Reject kitchen-sink level specification.</x:v>
      </x:c>
      <x:c r="F23" s="20" t="str">
        <x:v>Justifies reduced/composite approach.</x:v>
      </x:c>
      <x:c r="G23" s="20" t="str">
        <x:v>Locked.</x:v>
      </x:c>
    </x:row>
    <x:row r="27">
      <x:c r="A27" s="324" t="str">
        <x:v>Finding</x:v>
      </x:c>
      <x:c r="B27" s="324" t="str">
        <x:v>What We Can Say</x:v>
      </x:c>
      <x:c r="C27" s="324" t="str">
        <x:v>What We Cannot Say</x:v>
      </x:c>
      <x:c r="D27" s="324" t="str">
        <x:v>Next Modeling Rule</x:v>
      </x:c>
      <x:c r="I27" s="326" t="str">
        <x:v>Month</x:v>
      </x:c>
      <x:c r="J27" s="326" t="str">
        <x:v>MSRP YoY</x:v>
      </x:c>
      <x:c r="K27" s="326" t="str">
        <x:v>Resin YoY</x:v>
      </x:c>
      <x:c r="L27" s="326" t="str">
        <x:v>Tooling YoY</x:v>
      </x:c>
      <x:c r="M27" s="326" t="str">
        <x:v>Freight YoY</x:v>
      </x:c>
      <x:c r="N27" s="326" t="str">
        <x:v>Broad Cost YoY</x:v>
      </x:c>
    </x:row>
    <x:row r="28">
      <x:c r="A28" s="20" t="str">
        <x:v>Annual-change specification is cleaner</x:v>
      </x:c>
      <x:c r="B28" s="20" t="str">
        <x:v>Twelve-month cost inflation explains a meaningful share of variation in twelve-month MSRP inflation without the extreme VIF problem of raw levels.</x:v>
      </x:c>
      <x:c r="C28" s="20" t="str">
        <x:v>It does not create independent pricing decisions or prove causation.</x:v>
      </x:c>
      <x:c r="D28" s="20" t="str">
        <x:v>Use annual-change regressions as the primary statistical companion to transition-window evidence.</x:v>
      </x:c>
      <x:c r="I28" s="253" t="n">
        <x:v>43466</x:v>
      </x:c>
      <x:c r="J28" s="16"/>
      <x:c r="K28" s="16"/>
      <x:c r="L28" s="16"/>
      <x:c r="M28" s="16"/>
      <x:c r="N28" s="16"/>
    </x:row>
    <x:row r="29">
      <x:c r="A29" s="20" t="str">
        <x:v>Freight is robust</x:v>
      </x:c>
      <x:c r="B29" s="20" t="str">
        <x:v>Freight inflation has a positive association with MSRP inflation across the reduced and packaging-alternative specifications.</x:v>
      </x:c>
      <x:c r="C29" s="20" t="str">
        <x:v>The coefficient is not a literal freight pass-through rate.</x:v>
      </x:c>
      <x:c r="D29" s="20" t="str">
        <x:v>Retain freight in core statistical models.</x:v>
      </x:c>
      <x:c r="I29" s="253" t="n">
        <x:v>43497</x:v>
      </x:c>
      <x:c r="J29" s="16"/>
      <x:c r="K29" s="16"/>
      <x:c r="L29" s="16"/>
      <x:c r="M29" s="16"/>
      <x:c r="N29" s="16"/>
    </x:row>
    <x:row r="30">
      <x:c r="A30" s="20" t="str">
        <x:v>Tooling is meaningful but specification-sensitive</x:v>
      </x:c>
      <x:c r="B30" s="20" t="str">
        <x:v>Tooling remains positive in the reduced annual-change model.</x:v>
      </x:c>
      <x:c r="C30" s="20" t="str">
        <x:v>We cannot separate all tooling effects from the broader production-cost cycle with confidence.</x:v>
      </x:c>
      <x:c r="D30" s="20" t="str">
        <x:v>Retain tooling in the reduced model and use composite/alternate models as checks.</x:v>
      </x:c>
      <x:c r="I30" s="253" t="n">
        <x:v>43525</x:v>
      </x:c>
      <x:c r="J30" s="16"/>
      <x:c r="K30" s="16"/>
      <x:c r="L30" s="16"/>
      <x:c r="M30" s="16"/>
      <x:c r="N30" s="16"/>
    </x:row>
    <x:row r="31">
      <x:c r="A31" s="20" t="str">
        <x:v>Resin remains relevant</x:v>
      </x:c>
      <x:c r="B31" s="20" t="str">
        <x:v>Resin inflation is positive in the preferred annual-change model and was especially strong ahead of the 2021 price increase.</x:v>
      </x:c>
      <x:c r="C31" s="20" t="str">
        <x:v>Current regression does not show a stable, independently significant resin coefficient across every specification.</x:v>
      </x:c>
      <x:c r="D31" s="20" t="str">
        <x:v>Keep resin because economic relevance and transition evidence are strong; do not oversell coefficient significance.</x:v>
      </x:c>
      <x:c r="I31" s="253" t="n">
        <x:v>43556</x:v>
      </x:c>
      <x:c r="J31" s="16"/>
      <x:c r="K31" s="16"/>
      <x:c r="L31" s="16"/>
      <x:c r="M31" s="16"/>
      <x:c r="N31" s="16"/>
    </x:row>
    <x:row r="32">
      <x:c r="A32" s="20" t="str">
        <x:v>Demand proxy is weak/noisy</x:v>
      </x:c>
      <x:c r="B32" s="20" t="str">
        <x:v>Broad toy/hobby retail demand does not add a stable positive coefficient.</x:v>
      </x:c>
      <x:c r="C32" s="20" t="str">
        <x:v>This does not prove Marvel Legends demand was unimportant.</x:v>
      </x:c>
      <x:c r="D32" s="20" t="str">
        <x:v>Keep demand as a robustness/context control, not a headline explanatory variable.</x:v>
      </x:c>
      <x:c r="I32" s="253" t="n">
        <x:v>43586</x:v>
      </x:c>
      <x:c r="J32" s="16"/>
      <x:c r="K32" s="16"/>
      <x:c r="L32" s="16"/>
      <x:c r="M32" s="16"/>
      <x:c r="N32" s="16"/>
    </x:row>
    <x:row r="33">
      <x:c r="I33" s="253" t="n">
        <x:v>43617</x:v>
      </x:c>
      <x:c r="J33" s="16"/>
      <x:c r="K33" s="16"/>
      <x:c r="L33" s="16"/>
      <x:c r="M33" s="16"/>
      <x:c r="N33" s="16"/>
    </x:row>
    <x:row r="34">
      <x:c r="I34" s="253" t="n">
        <x:v>43647</x:v>
      </x:c>
      <x:c r="J34" s="16"/>
      <x:c r="K34" s="16"/>
      <x:c r="L34" s="16"/>
      <x:c r="M34" s="16"/>
      <x:c r="N34" s="16"/>
    </x:row>
    <x:row r="35">
      <x:c r="I35" s="253" t="n">
        <x:v>43678</x:v>
      </x:c>
      <x:c r="J35" s="16"/>
      <x:c r="K35" s="16"/>
      <x:c r="L35" s="16"/>
      <x:c r="M35" s="16"/>
      <x:c r="N35" s="16"/>
    </x:row>
    <x:row r="36">
      <x:c r="I36" s="253" t="n">
        <x:v>43709</x:v>
      </x:c>
      <x:c r="J36" s="16"/>
      <x:c r="K36" s="16"/>
      <x:c r="L36" s="16"/>
      <x:c r="M36" s="16"/>
      <x:c r="N36" s="16"/>
    </x:row>
    <x:row r="37">
      <x:c r="I37" s="253" t="n">
        <x:v>43739</x:v>
      </x:c>
      <x:c r="J37" s="16"/>
      <x:c r="K37" s="16"/>
      <x:c r="L37" s="16"/>
      <x:c r="M37" s="16"/>
      <x:c r="N37" s="16"/>
    </x:row>
    <x:row r="38">
      <x:c r="I38" s="253" t="n">
        <x:v>43770</x:v>
      </x:c>
      <x:c r="J38" s="16"/>
      <x:c r="K38" s="16"/>
      <x:c r="L38" s="16"/>
      <x:c r="M38" s="16"/>
      <x:c r="N38" s="16"/>
    </x:row>
    <x:row r="39">
      <x:c r="I39" s="253" t="n">
        <x:v>43800</x:v>
      </x:c>
      <x:c r="J39" s="16"/>
      <x:c r="K39" s="16"/>
      <x:c r="L39" s="16"/>
      <x:c r="M39" s="16"/>
      <x:c r="N39" s="16"/>
    </x:row>
    <x:row r="40">
      <x:c r="I40" s="253" t="n">
        <x:v>43831</x:v>
      </x:c>
      <x:c r="J40" s="16" t="n">
        <x:v>0</x:v>
      </x:c>
      <x:c r="K40" s="16" t="n">
        <x:v>-0.09289617486338797</x:v>
      </x:c>
      <x:c r="L40" s="16" t="n">
        <x:v>-0.012500000000000067</x:v>
      </x:c>
      <x:c r="M40" s="16" t="n">
        <x:v>0.04427083333333348</x:v>
      </x:c>
      <x:c r="N40" s="16" t="n">
        <x:v>0.016178239270642214</x:v>
      </x:c>
    </x:row>
    <x:row r="41">
      <x:c r="I41" s="253" t="n">
        <x:v>43862</x:v>
      </x:c>
      <x:c r="J41" s="16" t="n">
        <x:v>0</x:v>
      </x:c>
      <x:c r="K41" s="16" t="n">
        <x:v>-0.050129645635263564</x:v>
      </x:c>
      <x:c r="L41" s="16" t="n">
        <x:v>-0.009895833333333326</x:v>
      </x:c>
      <x:c r="M41" s="16" t="n">
        <x:v>-0.007830342577487714</x:v>
      </x:c>
      <x:c r="N41" s="16" t="n">
        <x:v>0.0030097205007499905</x:v>
      </x:c>
    </x:row>
    <x:row r="42">
      <x:c r="I42" s="253" t="n">
        <x:v>43891</x:v>
      </x:c>
      <x:c r="J42" s="16" t="n">
        <x:v>0</x:v>
      </x:c>
      <x:c r="K42" s="16" t="n">
        <x:v>-0.03436123348017628</x:v>
      </x:c>
      <x:c r="L42" s="16" t="n">
        <x:v>-0.009895833333333326</x:v>
      </x:c>
      <x:c r="M42" s="16" t="n">
        <x:v>-0.019792342634652682</x:v>
      </x:c>
      <x:c r="N42" s="16" t="n">
        <x:v>-0.001528543379525904</x:v>
      </x:c>
    </x:row>
    <x:row r="43">
      <x:c r="I43" s="253" t="n">
        <x:v>43922</x:v>
      </x:c>
      <x:c r="J43" s="16" t="n">
        <x:v>0</x:v>
      </x:c>
      <x:c r="K43" s="16" t="n">
        <x:v>-0.08718861209964424</x:v>
      </x:c>
      <x:c r="L43" s="16" t="n">
        <x:v>-0.010937499999999933</x:v>
      </x:c>
      <x:c r="M43" s="16" t="n">
        <x:v>-0.07302100161550895</x:v>
      </x:c>
      <x:c r="N43" s="16" t="n">
        <x:v>-0.012597063370018313</x:v>
      </x:c>
    </x:row>
    <x:row r="44">
      <x:c r="I44" s="253" t="n">
        <x:v>43952</x:v>
      </x:c>
      <x:c r="J44" s="16" t="n">
        <x:v>0</x:v>
      </x:c>
      <x:c r="K44" s="16" t="n">
        <x:v>-0.12379280070237053</x:v>
      </x:c>
      <x:c r="L44" s="16" t="n">
        <x:v>-0.012493492972410203</x:v>
      </x:c>
      <x:c r="M44" s="16" t="n">
        <x:v>-0.07479045776918114</x:v>
      </x:c>
      <x:c r="N44" s="16" t="n">
        <x:v>-0.016125914206395198</x:v>
      </x:c>
    </x:row>
    <x:row r="45">
      <x:c r="I45" s="253" t="n">
        <x:v>43983</x:v>
      </x:c>
      <x:c r="J45" s="16" t="n">
        <x:v>0</x:v>
      </x:c>
      <x:c r="K45" s="16" t="n">
        <x:v>-0.10843373493975894</x:v>
      </x:c>
      <x:c r="L45" s="16" t="n">
        <x:v>-0.013014055179593975</x:v>
      </x:c>
      <x:c r="M45" s="16" t="n">
        <x:v>-0.06951180084060782</x:v>
      </x:c>
      <x:c r="N45" s="16" t="n">
        <x:v>-0.015973402780787738</x:v>
      </x:c>
    </x:row>
    <x:row r="46">
      <x:c r="I46" s="253" t="n">
        <x:v>44013</x:v>
      </x:c>
      <x:c r="J46" s="16" t="n">
        <x:v>0</x:v>
      </x:c>
      <x:c r="K46" s="16" t="n">
        <x:v>-0.08314707197139026</x:v>
      </x:c>
      <x:c r="L46" s="16" t="n">
        <x:v>-0.01197293076522632</x:v>
      </x:c>
      <x:c r="M46" s="16" t="n">
        <x:v>-0.08001275103602157</x:v>
      </x:c>
      <x:c r="N46" s="16" t="n">
        <x:v>-0.020994862462953567</x:v>
      </x:c>
    </x:row>
    <x:row r="47">
      <x:c r="I47" s="253" t="n">
        <x:v>44044</x:v>
      </x:c>
      <x:c r="J47" s="16" t="n">
        <x:v>0</x:v>
      </x:c>
      <x:c r="K47" s="16" t="n">
        <x:v>-0.055778670236501515</x:v>
      </x:c>
      <x:c r="L47" s="16" t="n">
        <x:v>-0.01197293076522632</x:v>
      </x:c>
      <x:c r="M47" s="16" t="n">
        <x:v>-0.050624589086127436</x:v>
      </x:c>
      <x:c r="N47" s="16" t="n">
        <x:v>-0.011825356506688145</x:v>
      </x:c>
    </x:row>
    <x:row r="48">
      <x:c r="I48" s="253" t="n">
        <x:v>44075</x:v>
      </x:c>
      <x:c r="J48" s="16" t="n">
        <x:v>0</x:v>
      </x:c>
      <x:c r="K48" s="16" t="n">
        <x:v>-0.04644930772666367</x:v>
      </x:c>
      <x:c r="L48" s="16" t="n">
        <x:v>-0.010931806350858886</x:v>
      </x:c>
      <x:c r="M48" s="16" t="n">
        <x:v>-0.05508196721311476</x:v>
      </x:c>
      <x:c r="N48" s="16" t="n">
        <x:v>-0.010095193378448664</x:v>
      </x:c>
    </x:row>
    <x:row r="49">
      <x:c r="I49" s="253" t="n">
        <x:v>44105</x:v>
      </x:c>
      <x:c r="J49" s="16" t="n">
        <x:v>0</x:v>
      </x:c>
      <x:c r="K49" s="16" t="n">
        <x:v>0.002225189141076944</x:v>
      </x:c>
      <x:c r="L49" s="16" t="n">
        <x:v>-0.009379885356956774</x:v>
      </x:c>
      <x:c r="M49" s="16" t="n">
        <x:v>-0.06140640475404413</x:v>
      </x:c>
      <x:c r="N49" s="16" t="n">
        <x:v>-0.010123435716557161</x:v>
      </x:c>
    </x:row>
    <x:row r="50">
      <x:c r="I50" s="253" t="n">
        <x:v>44136</x:v>
      </x:c>
      <x:c r="J50" s="16" t="n">
        <x:v>0</x:v>
      </x:c>
      <x:c r="K50" s="16" t="n">
        <x:v>0.022563176895306958</x:v>
      </x:c>
      <x:c r="L50" s="16" t="n">
        <x:v>-0.009379885356956774</x:v>
      </x:c>
      <x:c r="M50" s="16" t="n">
        <x:v>-0.11296939097507086</x:v>
      </x:c>
      <x:c r="N50" s="16" t="n">
        <x:v>-0.025080317350390513</x:v>
      </x:c>
    </x:row>
    <x:row r="51">
      <x:c r="I51" s="253" t="n">
        <x:v>44166</x:v>
      </x:c>
      <x:c r="J51" s="16" t="n">
        <x:v>0</x:v>
      </x:c>
      <x:c r="K51" s="16" t="n">
        <x:v>0.07113163972286385</x:v>
      </x:c>
      <x:c r="L51" s="16" t="n">
        <x:v>0.0015822784810126667</x:v>
      </x:c>
      <x:c r="M51" s="16" t="n">
        <x:v>-0.11416094822208367</x:v>
      </x:c>
      <x:c r="N51" s="16" t="n">
        <x:v>-0.023201312418901665</x:v>
      </x:c>
    </x:row>
    <x:row r="52">
      <x:c r="I52" s="253" t="n">
        <x:v>44197</x:v>
      </x:c>
      <x:c r="J52" s="16" t="n">
        <x:v>0</x:v>
      </x:c>
      <x:c r="K52" s="16" t="n">
        <x:v>0.11862835959221507</x:v>
      </x:c>
      <x:c r="L52" s="16" t="n">
        <x:v>0.003691983122362963</x:v>
      </x:c>
      <x:c r="M52" s="16" t="n">
        <x:v>-0.10754364089775559</x:v>
      </x:c>
      <x:c r="N52" s="16" t="n">
        <x:v>-0.020535733916511867</x:v>
      </x:c>
    </x:row>
    <x:row r="53">
      <x:c r="I53" s="253" t="n">
        <x:v>44228</x:v>
      </x:c>
      <x:c r="J53" s="16" t="n">
        <x:v>0</x:v>
      </x:c>
      <x:c r="K53" s="16" t="n">
        <x:v>0.16105550500454946</x:v>
      </x:c>
      <x:c r="L53" s="16" t="n">
        <x:v>0.005786428195686533</x:v>
      </x:c>
      <x:c r="M53" s="16" t="n">
        <x:v>-0.03222624136797114</x:v>
      </x:c>
      <x:c r="N53" s="16" t="n">
        <x:v>0.0038544306444028287</x:v>
      </x:c>
    </x:row>
    <x:row r="54">
      <x:c r="I54" s="253" t="n">
        <x:v>44256</x:v>
      </x:c>
      <x:c r="J54" s="16" t="n">
        <x:v>0</x:v>
      </x:c>
      <x:c r="K54" s="16" t="n">
        <x:v>0.2874087591240877</x:v>
      </x:c>
      <x:c r="L54" s="16" t="n">
        <x:v>0.007890583903208848</x:v>
      </x:c>
      <x:c r="M54" s="16" t="n">
        <x:v>-0.00728235683548506</x:v>
      </x:c>
      <x:c r="N54" s="16" t="n">
        <x:v>0.01755081736053543</x:v>
      </x:c>
    </x:row>
    <x:row r="55">
      <x:c r="I55" s="253" t="n">
        <x:v>44287</x:v>
      </x:c>
      <x:c r="J55" s="16" t="n">
        <x:v>0</x:v>
      </x:c>
      <x:c r="K55" s="16" t="n">
        <x:v>0.46588693957115024</x:v>
      </x:c>
      <x:c r="L55" s="16" t="n">
        <x:v>0.011585044760400232</x:v>
      </x:c>
      <x:c r="M55" s="16" t="n">
        <x:v>0.07877309166957147</x:v>
      </x:c>
      <x:c r="N55" s="16" t="n">
        <x:v>0.03742573059078169</x:v>
      </x:c>
    </x:row>
    <x:row r="56">
      <x:c r="I56" s="253" t="n">
        <x:v>44317</x:v>
      </x:c>
      <x:c r="J56" s="16" t="n">
        <x:v>0</x:v>
      </x:c>
      <x:c r="K56" s="16" t="n">
        <x:v>0.5551102204408818</x:v>
      </x:c>
      <x:c r="L56" s="16" t="n">
        <x:v>0.02583025830258312</x:v>
      </x:c>
      <x:c r="M56" s="16" t="n">
        <x:v>0.1250871080139373</x:v>
      </x:c>
      <x:c r="N56" s="16" t="n">
        <x:v>0.060226096913398086</x:v>
      </x:c>
    </x:row>
    <x:row r="57">
      <x:c r="I57" s="253" t="n">
        <x:v>44348</x:v>
      </x:c>
      <x:c r="J57" s="16" t="n">
        <x:v>0</x:v>
      </x:c>
      <x:c r="K57" s="16" t="n">
        <x:v>0.619119119119119</x:v>
      </x:c>
      <x:c r="L57" s="16" t="n">
        <x:v>0.030590717299578074</x:v>
      </x:c>
      <x:c r="M57" s="16" t="n">
        <x:v>0.17060458651841537</x:v>
      </x:c>
      <x:c r="N57" s="16" t="n">
        <x:v>0.0770555910941404</x:v>
      </x:c>
    </x:row>
    <x:row r="58">
      <x:c r="I58" s="253" t="n">
        <x:v>44378</x:v>
      </x:c>
      <x:c r="J58" s="16" t="n">
        <x:v>0.1500750375187594</x:v>
      </x:c>
      <x:c r="K58" s="16" t="n">
        <x:v>0.6289029741589469</x:v>
      </x:c>
      <x:c r="L58" s="16" t="n">
        <x:v>0.032871443624868046</x:v>
      </x:c>
      <x:c r="M58" s="16" t="n">
        <x:v>0.17913721413721406</x:v>
      </x:c>
      <x:c r="N58" s="16" t="n">
        <x:v>0.08915843934443979</x:v>
      </x:c>
    </x:row>
    <x:row r="59">
      <x:c r="I59" s="253" t="n">
        <x:v>44409</x:v>
      </x:c>
      <x:c r="J59" s="16" t="n">
        <x:v>0.1500750375187594</x:v>
      </x:c>
      <x:c r="K59" s="16" t="n">
        <x:v>0.6096691871455577</x:v>
      </x:c>
      <x:c r="L59" s="16" t="n">
        <x:v>0.042402528977871556</x:v>
      </x:c>
      <x:c r="M59" s="16" t="n">
        <x:v>0.1594771468144045</x:v>
      </x:c>
      <x:c r="N59" s="16" t="n">
        <x:v>0.09302284998402754</x:v>
      </x:c>
    </x:row>
    <x:row r="60">
      <x:c r="I60" s="253" t="n">
        <x:v>44440</x:v>
      </x:c>
      <x:c r="J60" s="16" t="n">
        <x:v>0.1500750375187594</x:v>
      </x:c>
      <x:c r="K60" s="16" t="n">
        <x:v>0.5887868852459017</x:v>
      </x:c>
      <x:c r="L60" s="16" t="n">
        <x:v>0.042315789473684084</x:v>
      </x:c>
      <x:c r="M60" s="16" t="n">
        <x:v>0.20364677307425416</x:v>
      </x:c>
      <x:c r="N60" s="16" t="n">
        <x:v>0.10434484296355762</x:v>
      </x:c>
    </x:row>
    <x:row r="61">
      <x:c r="I61" s="253" t="n">
        <x:v>44470</x:v>
      </x:c>
      <x:c r="J61" s="16" t="n">
        <x:v>0.1500750375187594</x:v>
      </x:c>
      <x:c r="K61" s="16" t="n">
        <x:v>0.5072868561278863</x:v>
      </x:c>
      <x:c r="L61" s="16" t="n">
        <x:v>0.059168858495528776</x:v>
      </x:c>
      <x:c r="M61" s="16" t="n">
        <x:v>0.25522335561027076</x:v>
      </x:c>
      <x:c r="N61" s="16" t="n">
        <x:v>0.12921662413812984</x:v>
      </x:c>
    </x:row>
    <x:row r="62">
      <x:c r="I62" s="253" t="n">
        <x:v>44501</x:v>
      </x:c>
      <x:c r="J62" s="16" t="n">
        <x:v>0.1500750375187594</x:v>
      </x:c>
      <x:c r="K62" s="16" t="n">
        <x:v>0.478857016769638</x:v>
      </x:c>
      <x:c r="L62" s="16" t="n">
        <x:v>0.06107837980010533</x:v>
      </x:c>
      <x:c r="M62" s="16" t="n">
        <x:v>0.25734614016364277</x:v>
      </x:c>
      <x:c r="N62" s="16" t="n">
        <x:v>0.1377130687453525</x:v>
      </x:c>
    </x:row>
    <x:row r="63">
      <x:c r="I63" s="253" t="n">
        <x:v>44531</x:v>
      </x:c>
      <x:c r="J63" s="16" t="n">
        <x:v>0.1500750375187594</x:v>
      </x:c>
      <x:c r="K63" s="16" t="n">
        <x:v>0.3956101768003448</x:v>
      </x:c>
      <x:c r="L63" s="16" t="n">
        <x:v>0.06484465508162196</x:v>
      </x:c>
      <x:c r="M63" s="16" t="n">
        <x:v>0.28765140845070425</x:v>
      </x:c>
      <x:c r="N63" s="16" t="n">
        <x:v>0.15064591159311225</x:v>
      </x:c>
    </x:row>
    <x:row r="64">
      <x:c r="I64" s="253" t="n">
        <x:v>44562</x:v>
      </x:c>
      <x:c r="J64" s="16" t="n">
        <x:v>0.1500750375187594</x:v>
      </x:c>
      <x:c r="K64" s="16" t="n">
        <x:v>0.29204225352112667</x:v>
      </x:c>
      <x:c r="L64" s="16" t="n">
        <x:v>0.07818707304256423</x:v>
      </x:c>
      <x:c r="M64" s="16" t="n">
        <x:v>0.2820258470136219</x:v>
      </x:c>
      <x:c r="N64" s="16" t="n">
        <x:v>0.17214225300615627</x:v>
      </x:c>
    </x:row>
    <x:row r="65">
      <x:c r="I65" s="253" t="n">
        <x:v>44593</x:v>
      </x:c>
      <x:c r="J65" s="16" t="n">
        <x:v>0.1500750375187594</x:v>
      </x:c>
      <x:c r="K65" s="16" t="n">
        <x:v>0.22336206896551736</x:v>
      </x:c>
      <x:c r="L65" s="16" t="n">
        <x:v>0.08278765690376577</x:v>
      </x:c>
      <x:c r="M65" s="16" t="n">
        <x:v>0.2479034998301053</x:v>
      </x:c>
      <x:c r="N65" s="16" t="n">
        <x:v>0.16796061072045054</x:v>
      </x:c>
    </x:row>
    <x:row r="66">
      <x:c r="I66" s="253" t="n">
        <x:v>44621</x:v>
      </x:c>
      <x:c r="J66" s="16" t="n">
        <x:v>0.1500750375187594</x:v>
      </x:c>
      <x:c r="K66" s="16" t="n">
        <x:v>0.10452515946137497</x:v>
      </x:c>
      <x:c r="L66" s="16" t="n">
        <x:v>0.09651878914404999</x:v>
      </x:c>
      <x:c r="M66" s="16" t="n">
        <x:v>0.18863287762587544</x:v>
      </x:c>
      <x:c r="N66" s="16" t="n">
        <x:v>0.15472985860494148</x:v>
      </x:c>
    </x:row>
    <x:row r="67">
      <x:c r="I67" s="253" t="n">
        <x:v>44652</x:v>
      </x:c>
      <x:c r="J67" s="16" t="n">
        <x:v>0.25012506253126565</x:v>
      </x:c>
      <x:c r="K67" s="16" t="n">
        <x:v>0.08239361702127646</x:v>
      </x:c>
      <x:c r="L67" s="16" t="n">
        <x:v>0.09683498178032268</x:v>
      </x:c>
      <x:c r="M67" s="16" t="n">
        <x:v>0.2501260096930533</x:v>
      </x:c>
      <x:c r="N67" s="16" t="n">
        <x:v>0.18949525014424018</x:v>
      </x:c>
    </x:row>
    <x:row r="68">
      <x:c r="I68" s="253" t="n">
        <x:v>44682</x:v>
      </x:c>
      <x:c r="J68" s="16" t="n">
        <x:v>0.25012506253126565</x:v>
      </x:c>
      <x:c r="K68" s="16" t="n">
        <x:v>0.06450708762886603</x:v>
      </x:c>
      <x:c r="L68" s="16" t="n">
        <x:v>0.09103288797533393</x:v>
      </x:c>
      <x:c r="M68" s="16" t="n">
        <x:v>0.3550232270052649</x:v>
      </x:c>
      <x:c r="N68" s="16" t="n">
        <x:v>0.21455549405126462</x:v>
      </x:c>
    </x:row>
    <x:row r="69">
      <x:c r="I69" s="253" t="n">
        <x:v>44713</x:v>
      </x:c>
      <x:c r="J69" s="16" t="n">
        <x:v>0.25012506253126565</x:v>
      </x:c>
      <x:c r="K69" s="16" t="n">
        <x:v>0.033353941267388</x:v>
      </x:c>
      <x:c r="L69" s="16" t="n">
        <x:v>0.08862333674513811</x:v>
      </x:c>
      <x:c r="M69" s="16" t="n">
        <x:v>0.276046304541407</x:v>
      </x:c>
      <x:c r="N69" s="16" t="n">
        <x:v>0.19673517176718347</x:v>
      </x:c>
    </x:row>
    <x:row r="70">
      <x:c r="I70" s="253" t="n">
        <x:v>44743</x:v>
      </x:c>
      <x:c r="J70" s="16" t="n">
        <x:v>0.08699434536755102</x:v>
      </x:c>
      <x:c r="K70" s="16" t="n">
        <x:v>-0.024041569885778658</x:v>
      </x:c>
      <x:c r="L70" s="16" t="n">
        <x:v>0.08946689179193945</x:v>
      </x:c>
      <x:c r="M70" s="16" t="n">
        <x:v>0.3070975818324473</x:v>
      </x:c>
      <x:c r="N70" s="16" t="n">
        <x:v>0.20118234870668172</x:v>
      </x:c>
    </x:row>
    <x:row r="71">
      <x:c r="I71" s="253" t="n">
        <x:v>44774</x:v>
      </x:c>
      <x:c r="J71" s="16" t="n">
        <x:v>0.08699434536755102</x:v>
      </x:c>
      <x:c r="K71" s="16" t="n">
        <x:v>-0.07636976447860577</x:v>
      </x:c>
      <x:c r="L71" s="16" t="n">
        <x:v>0.08342262747159435</x:v>
      </x:c>
      <x:c r="M71" s="16" t="n">
        <x:v>0.37018189854176553</x:v>
      </x:c>
      <x:c r="N71" s="16" t="n">
        <x:v>0.2188051378744671</x:v>
      </x:c>
    </x:row>
    <x:row r="72">
      <x:c r="I72" s="253" t="n">
        <x:v>44805</x:v>
      </x:c>
      <x:c r="J72" s="16" t="n">
        <x:v>0.08699434536755102</x:v>
      </x:c>
      <x:c r="K72" s="16" t="n">
        <x:v>-0.0843676114219678</x:v>
      </x:c>
      <x:c r="L72" s="16" t="n">
        <x:v>0.08662391436073524</x:v>
      </x:c>
      <x:c r="M72" s="16" t="n">
        <x:v>0.34957666817530564</x:v>
      </x:c>
      <x:c r="N72" s="16" t="n">
        <x:v>0.21398555319184132</x:v>
      </x:c>
    </x:row>
    <x:row r="73">
      <x:c r="I73" s="253" t="n">
        <x:v>44835</x:v>
      </x:c>
      <x:c r="J73" s="16" t="n">
        <x:v>0.08699434536755102</x:v>
      </x:c>
      <x:c r="K73" s="16" t="n">
        <x:v>-0.10886722582127661</x:v>
      </x:c>
      <x:c r="L73" s="16" t="n">
        <x:v>0.07163716550449961</x:v>
      </x:c>
      <x:c r="M73" s="16" t="n">
        <x:v>0.3117469035476097</x:v>
      </x:c>
      <x:c r="N73" s="16" t="n">
        <x:v>0.1915640742702598</x:v>
      </x:c>
    </x:row>
    <x:row r="74">
      <x:c r="I74" s="253" t="n">
        <x:v>44866</x:v>
      </x:c>
      <x:c r="J74" s="16" t="n">
        <x:v>0.08699434536755102</x:v>
      </x:c>
      <x:c r="K74" s="16" t="n">
        <x:v>-0.15502120205664416</x:v>
      </x:c>
      <x:c r="L74" s="16" t="n">
        <x:v>0.0707348632449396</x:v>
      </x:c>
      <x:c r="M74" s="16" t="n">
        <x:v>0.3068809416025351</x:v>
      </x:c>
      <x:c r="N74" s="16" t="n">
        <x:v>0.18410138264870413</x:v>
      </x:c>
    </x:row>
    <x:row r="75">
      <x:c r="I75" s="253" t="n">
        <x:v>44896</x:v>
      </x:c>
      <x:c r="J75" s="16" t="n">
        <x:v>0.08699434536755102</x:v>
      </x:c>
      <x:c r="K75" s="16" t="n">
        <x:v>-0.1373338441858597</x:v>
      </x:c>
      <x:c r="L75" s="16" t="n">
        <x:v>0.07016329235364505</x:v>
      </x:c>
      <x:c r="M75" s="16" t="n">
        <x:v>0.2561684254278864</x:v>
      </x:c>
      <x:c r="N75" s="16" t="n">
        <x:v>0.168698005321676</x:v>
      </x:c>
    </x:row>
    <x:row r="76">
      <x:c r="I76" s="253" t="n">
        <x:v>44927</x:v>
      </x:c>
      <x:c r="J76" s="16" t="n">
        <x:v>0.08699434536755102</x:v>
      </x:c>
      <x:c r="K76" s="16" t="n">
        <x:v>-0.12211324819893621</x:v>
      </x:c>
      <x:c r="L76" s="16" t="n">
        <x:v>0.0571988361382012</x:v>
      </x:c>
      <x:c r="M76" s="16" t="n">
        <x:v>0.18034077658264414</x:v>
      </x:c>
      <x:c r="N76" s="16" t="n">
        <x:v>0.12564009211155613</x:v>
      </x:c>
    </x:row>
    <x:row r="77">
      <x:c r="I77" s="253" t="n">
        <x:v>44958</x:v>
      </x:c>
      <x:c r="J77" s="16" t="n">
        <x:v>0.08699434536755102</x:v>
      </x:c>
      <x:c r="K77" s="16" t="n">
        <x:v>-0.09841064439049074</x:v>
      </x:c>
      <x:c r="L77" s="16" t="n">
        <x:v>0.05045186906182231</x:v>
      </x:c>
      <x:c r="M77" s="16" t="n">
        <x:v>0.21695102625402307</x:v>
      </x:c>
      <x:c r="N77" s="16" t="n">
        <x:v>0.12577596128726531</x:v>
      </x:c>
    </x:row>
    <x:row r="78">
      <x:c r="I78" s="253" t="n">
        <x:v>44986</x:v>
      </x:c>
      <x:c r="J78" s="16" t="n">
        <x:v>0.08699434536755102</x:v>
      </x:c>
      <x:c r="K78" s="16" t="n">
        <x:v>-0.08787380051781057</x:v>
      </x:c>
      <x:c r="L78" s="16" t="n">
        <x:v>0.03822116872051895</x:v>
      </x:c>
      <x:c r="M78" s="16" t="n">
        <x:v>0.13157592062187384</x:v>
      </x:c>
      <x:c r="N78" s="16" t="n">
        <x:v>0.09736739080732182</x:v>
      </x:c>
    </x:row>
    <x:row r="79">
      <x:c r="I79" s="253" t="n">
        <x:v>45017</x:v>
      </x:c>
      <x:c r="J79" s="16" t="n">
        <x:v>0</x:v>
      </x:c>
      <x:c r="K79" s="16" t="n">
        <x:v>-0.11137525185512798</x:v>
      </x:c>
      <x:c r="L79" s="16" t="n">
        <x:v>0.039496540137255565</x:v>
      </x:c>
      <x:c r="M79" s="16" t="n">
        <x:v>0.036258703484495225</x:v>
      </x:c>
      <x:c r="N79" s="16" t="n">
        <x:v>0.05587068078653501</x:v>
      </x:c>
    </x:row>
    <x:row r="80">
      <x:c r="I80" s="253" t="n">
        <x:v>45047</x:v>
      </x:c>
      <x:c r="J80" s="16" t="n">
        <x:v>0</x:v>
      </x:c>
      <x:c r="K80" s="16" t="n">
        <x:v>-0.1284353692085599</x:v>
      </x:c>
      <x:c r="L80" s="16" t="n">
        <x:v>0.03373289687492642</x:v>
      </x:c>
      <x:c r="M80" s="16" t="n">
        <x:v>-0.007123968944340642</x:v>
      </x:c>
      <x:c r="N80" s="16" t="n">
        <x:v>0.036226422776462375</x:v>
      </x:c>
    </x:row>
    <x:row r="81">
      <x:c r="I81" s="253" t="n">
        <x:v>45078</x:v>
      </x:c>
      <x:c r="J81" s="16" t="n">
        <x:v>0</x:v>
      </x:c>
      <x:c r="K81" s="16" t="n">
        <x:v>-0.15610099015824586</x:v>
      </x:c>
      <x:c r="L81" s="16" t="n">
        <x:v>0.0437717718847106</x:v>
      </x:c>
      <x:c r="M81" s="16" t="n">
        <x:v>-0.04209583624098623</x:v>
      </x:c>
      <x:c r="N81" s="16" t="n">
        <x:v>0.021609841969761234</x:v>
      </x:c>
    </x:row>
    <x:row r="82">
      <x:c r="I82" s="253" t="n">
        <x:v>45108</x:v>
      </x:c>
      <x:c r="J82" s="16" t="n">
        <x:v>0</x:v>
      </x:c>
      <x:c r="K82" s="16" t="n">
        <x:v>-0.16272358122531083</x:v>
      </x:c>
      <x:c r="L82" s="16" t="n">
        <x:v>0.041310434595323464</x:v>
      </x:c>
      <x:c r="M82" s="16" t="n">
        <x:v>-0.018030413395562994</x:v>
      </x:c>
      <x:c r="N82" s="16" t="n">
        <x:v>0.01845675319867124</x:v>
      </x:c>
    </x:row>
    <x:row r="83">
      <x:c r="I83" s="253" t="n">
        <x:v>45139</x:v>
      </x:c>
      <x:c r="J83" s="16" t="n">
        <x:v>0</x:v>
      </x:c>
      <x:c r="K83" s="16" t="n">
        <x:v>-0.14500276546914437</x:v>
      </x:c>
      <x:c r="L83" s="16" t="n">
        <x:v>0.04537841784346375</x:v>
      </x:c>
      <x:c r="M83" s="16" t="n">
        <x:v>-0.013351786667828991</x:v>
      </x:c>
      <x:c r="N83" s="16" t="n">
        <x:v>0.012772270227535243</x:v>
      </x:c>
    </x:row>
    <x:row r="84">
      <x:c r="I84" s="253" t="n">
        <x:v>45170</x:v>
      </x:c>
      <x:c r="J84" s="16" t="n">
        <x:v>0</x:v>
      </x:c>
      <x:c r="K84" s="16" t="n">
        <x:v>-0.13585199685757343</x:v>
      </x:c>
      <x:c r="L84" s="16" t="n">
        <x:v>0.04128813401798381</x:v>
      </x:c>
      <x:c r="M84" s="16" t="n">
        <x:v>-0.07610924563607013</x:v>
      </x:c>
      <x:c r="N84" s="16" t="n">
        <x:v>-0.010508331501436596</x:v>
      </x:c>
    </x:row>
    <x:row r="85">
      <x:c r="I85" s="253" t="n">
        <x:v>45200</x:v>
      </x:c>
      <x:c r="J85" s="16" t="n">
        <x:v>0</x:v>
      </x:c>
      <x:c r="K85" s="16" t="n">
        <x:v>-0.11367761259161557</x:v>
      </x:c>
      <x:c r="L85" s="16" t="n">
        <x:v>0.03850360565782407</x:v>
      </x:c>
      <x:c r="M85" s="16" t="n">
        <x:v>-0.12644463908055803</x:v>
      </x:c>
      <x:c r="N85" s="16" t="n">
        <x:v>-0.028541894320842198</x:v>
      </x:c>
    </x:row>
    <x:row r="86">
      <x:c r="I86" s="253" t="n">
        <x:v>45231</x:v>
      </x:c>
      <x:c r="J86" s="16" t="n">
        <x:v>0</x:v>
      </x:c>
      <x:c r="K86" s="16" t="n">
        <x:v>-0.05010594716767924</x:v>
      </x:c>
      <x:c r="L86" s="16" t="n">
        <x:v>0.037508276267600005</x:v>
      </x:c>
      <x:c r="M86" s="16" t="n">
        <x:v>-0.14219621393189918</x:v>
      </x:c>
      <x:c r="N86" s="16" t="n">
        <x:v>-0.03364317014935736</x:v>
      </x:c>
    </x:row>
    <x:row r="87">
      <x:c r="I87" s="253" t="n">
        <x:v>45261</x:v>
      </x:c>
      <x:c r="J87" s="16" t="n">
        <x:v>0</x:v>
      </x:c>
      <x:c r="K87" s="16" t="n">
        <x:v>-0.0407242250040295</x:v>
      </x:c>
      <x:c r="L87" s="16" t="n">
        <x:v>0.03548026358351608</x:v>
      </x:c>
      <x:c r="M87" s="16" t="n">
        <x:v>-0.1108818125614971</x:v>
      </x:c>
      <x:c r="N87" s="16" t="n">
        <x:v>-0.026908718931851316</x:v>
      </x:c>
    </x:row>
    <x:row r="88">
      <x:c r="I88" s="253" t="n">
        <x:v>45292</x:v>
      </x:c>
      <x:c r="J88" s="16" t="n">
        <x:v>0</x:v>
      </x:c>
      <x:c r="K88" s="16" t="n">
        <x:v>-0.033767694622587885</x:v>
      </x:c>
      <x:c r="L88" s="16" t="n">
        <x:v>0.062148767950579664</x:v>
      </x:c>
      <x:c r="M88" s="16" t="n">
        <x:v>-0.03010130713674042</x:v>
      </x:c>
      <x:c r="N88" s="16" t="n">
        <x:v>0.0015428912836441544</x:v>
      </x:c>
    </x:row>
    <x:row r="89">
      <x:c r="I89" s="253" t="n">
        <x:v>45323</x:v>
      </x:c>
      <x:c r="J89" s="16" t="n">
        <x:v>0</x:v>
      </x:c>
      <x:c r="K89" s="16" t="n">
        <x:v>-0.038656662332402614</x:v>
      </x:c>
      <x:c r="L89" s="16" t="n">
        <x:v>0.05431913700028512</x:v>
      </x:c>
      <x:c r="M89" s="16" t="n">
        <x:v>-0.08220882231196935</x:v>
      </x:c>
      <x:c r="N89" s="16" t="n">
        <x:v>-0.014632954966173672</x:v>
      </x:c>
    </x:row>
    <x:row r="90">
      <x:c r="I90" s="253" t="n">
        <x:v>45352</x:v>
      </x:c>
      <x:c r="J90" s="16" t="n">
        <x:v>0</x:v>
      </x:c>
      <x:c r="K90" s="16" t="n">
        <x:v>-0.05546469133718135</x:v>
      </x:c>
      <x:c r="L90" s="16" t="n">
        <x:v>0.051182131182864854</x:v>
      </x:c>
      <x:c r="M90" s="16" t="n">
        <x:v>-0.01216984733770654</x:v>
      </x:c>
      <x:c r="N90" s="16" t="n">
        <x:v>0.0027650883616250344</x:v>
      </x:c>
    </x:row>
    <x:row r="91">
      <x:c r="I91" s="253" t="n">
        <x:v>45383</x:v>
      </x:c>
      <x:c r="J91" s="16" t="n">
        <x:v>0</x:v>
      </x:c>
      <x:c r="K91" s="16" t="n">
        <x:v>-0.06681828550887936</x:v>
      </x:c>
      <x:c r="L91" s="16" t="n">
        <x:v>0.04987581269632546</x:v>
      </x:c>
      <x:c r="M91" s="16" t="n">
        <x:v>-0.0005861182262814069</x:v>
      </x:c>
      <x:c r="N91" s="16" t="n">
        <x:v>0.003983763214613578</x:v>
      </x:c>
    </x:row>
    <x:row r="92">
      <x:c r="I92" s="253" t="n">
        <x:v>45413</x:v>
      </x:c>
      <x:c r="J92" s="16" t="n">
        <x:v>0</x:v>
      </x:c>
      <x:c r="K92" s="16" t="n">
        <x:v>-0.06314564994704586</x:v>
      </x:c>
      <x:c r="L92" s="16" t="n">
        <x:v>0.05041074919012001</x:v>
      </x:c>
      <x:c r="M92" s="16" t="n">
        <x:v>-0.04573454260853549</x:v>
      </x:c>
      <x:c r="N92" s="16" t="n">
        <x:v>-0.0099393241133795</x:v>
      </x:c>
    </x:row>
    <x:row r="93">
      <x:c r="I93" s="253" t="n">
        <x:v>45444</x:v>
      </x:c>
      <x:c r="J93" s="16" t="n">
        <x:v>0</x:v>
      </x:c>
      <x:c r="K93" s="16" t="n">
        <x:v>-0.04706370277944194</x:v>
      </x:c>
      <x:c r="L93" s="16" t="n">
        <x:v>0.03834201091754186</x:v>
      </x:c>
      <x:c r="M93" s="16" t="n">
        <x:v>0.05553869204449691</x:v>
      </x:c>
      <x:c r="N93" s="16" t="n">
        <x:v>0.015425461056538525</x:v>
      </x:c>
    </x:row>
    <x:row r="94">
      <x:c r="I94" s="253" t="n">
        <x:v>45474</x:v>
      </x:c>
      <x:c r="J94" s="16" t="n">
        <x:v>0</x:v>
      </x:c>
      <x:c r="K94" s="16" t="n">
        <x:v>0.0018351715574049798</x:v>
      </x:c>
      <x:c r="L94" s="16" t="n">
        <x:v>0.04438379323833974</x:v>
      </x:c>
      <x:c r="M94" s="16" t="n">
        <x:v>0.006602805963588532</x:v>
      </x:c>
      <x:c r="N94" s="16" t="n">
        <x:v>0.008190655253446977</x:v>
      </x:c>
    </x:row>
    <x:row r="95">
      <x:c r="I95" s="253" t="n">
        <x:v>45505</x:v>
      </x:c>
      <x:c r="J95" s="16" t="n">
        <x:v>0</x:v>
      </x:c>
      <x:c r="K95" s="16" t="n">
        <x:v>0.016878766585990634</x:v>
      </x:c>
      <x:c r="L95" s="16" t="n">
        <x:v>0.03655837200999623</x:v>
      </x:c>
      <x:c r="M95" s="16" t="n">
        <x:v>-0.044184859804413223</x:v>
      </x:c>
      <x:c r="N95" s="16" t="n">
        <x:v>-0.006349082860303001</x:v>
      </x:c>
    </x:row>
    <x:row r="96">
      <x:c r="I96" s="253" t="n">
        <x:v>45536</x:v>
      </x:c>
      <x:c r="J96" s="16" t="n">
        <x:v>0</x:v>
      </x:c>
      <x:c r="K96" s="16" t="n">
        <x:v>-0.007272889855957976</x:v>
      </x:c>
      <x:c r="L96" s="16" t="n">
        <x:v>0.03655837200999623</x:v>
      </x:c>
      <x:c r="M96" s="16" t="n">
        <x:v>-0.04217790879139938</x:v>
      </x:c>
      <x:c r="N96" s="16" t="n">
        <x:v>-0.0019811324575886857</x:v>
      </x:c>
    </x:row>
    <x:row r="97">
      <x:c r="I97" s="253" t="n">
        <x:v>45566</x:v>
      </x:c>
      <x:c r="J97" s="16" t="n">
        <x:v>0</x:v>
      </x:c>
      <x:c r="K97" s="16" t="n">
        <x:v>0.0040469822939861455</x:v>
      </x:c>
      <x:c r="L97" s="16" t="n">
        <x:v>0.04803641556586924</x:v>
      </x:c>
      <x:c r="M97" s="16" t="n">
        <x:v>0.00139391568032865</x:v>
      </x:c>
      <x:c r="N97" s="16" t="n">
        <x:v>0.015720223656646715</x:v>
      </x:c>
    </x:row>
    <x:row r="98">
      <x:c r="I98" s="253" t="n">
        <x:v>45597</x:v>
      </x:c>
      <x:c r="J98" s="16" t="n">
        <x:v>0</x:v>
      </x:c>
      <x:c r="K98" s="16" t="n">
        <x:v>-0.006495099861695497</x:v>
      </x:c>
      <x:c r="L98" s="16" t="n">
        <x:v>0.045479293109603525</x:v>
      </x:c>
      <x:c r="M98" s="16" t="n">
        <x:v>0.0008782932843374169</x:v>
      </x:c>
      <x:c r="N98" s="16" t="n">
        <x:v>0.016591139864159166</x:v>
      </x:c>
    </x:row>
    <x:row r="99">
      <x:c r="I99" s="253" t="n">
        <x:v>45627</x:v>
      </x:c>
      <x:c r="J99" s="16" t="n">
        <x:v>0</x:v>
      </x:c>
      <x:c r="K99" s="16" t="n">
        <x:v>-0.00812844207971608</x:v>
      </x:c>
      <x:c r="L99" s="16" t="n">
        <x:v>0.04551053195287391</x:v>
      </x:c>
      <x:c r="M99" s="16" t="n">
        <x:v>-0.03487694522520057</x:v>
      </x:c>
      <x:c r="N99" s="16" t="n">
        <x:v>0.00816809714383071</x:v>
      </x:c>
    </x:row>
    <x:row r="100">
      <x:c r="I100" s="253" t="n">
        <x:v>45658</x:v>
      </x:c>
      <x:c r="J100" s="16" t="n">
        <x:v>0</x:v>
      </x:c>
      <x:c r="K100" s="16" t="n">
        <x:v>-0.0030351594687147987</x:v>
      </x:c>
      <x:c r="L100" s="16" t="n">
        <x:v>0.016849250855049513</x:v>
      </x:c>
      <x:c r="M100" s="16" t="n">
        <x:v>0.019619415701244147</x:v>
      </x:c>
      <x:c r="N100" s="16" t="n">
        <x:v>0.015789691780778492</x:v>
      </x:c>
    </x:row>
    <x:row r="101">
      <x:c r="I101" s="253" t="n">
        <x:v>45689</x:v>
      </x:c>
      <x:c r="J101" s="16" t="n">
        <x:v>0</x:v>
      </x:c>
      <x:c r="K101" s="16" t="n">
        <x:v>0.008599504059542351</x:v>
      </x:c>
      <x:c r="L101" s="16" t="n">
        <x:v>0.035780484720023376</x:v>
      </x:c>
      <x:c r="M101" s="16" t="n">
        <x:v>0.06682220320678312</x:v>
      </x:c>
      <x:c r="N101" s="16" t="n">
        <x:v>0.03385357887420981</x:v>
      </x:c>
    </x:row>
    <x:row r="102">
      <x:c r="I102" s="253" t="n">
        <x:v>45717</x:v>
      </x:c>
      <x:c r="J102" s="16" t="n">
        <x:v>0</x:v>
      </x:c>
      <x:c r="K102" s="16" t="n">
        <x:v>0.025650001117160315</x:v>
      </x:c>
      <x:c r="L102" s="16" t="n">
        <x:v>0.04052999079755937</x:v>
      </x:c>
      <x:c r="M102" s="16" t="n">
        <x:v>0.04359730465661982</x:v>
      </x:c>
      <x:c r="N102" s="16" t="n">
        <x:v>0.031205261131727724</x:v>
      </x:c>
    </x:row>
    <x:row r="103">
      <x:c r="I103" s="253" t="n">
        <x:v>45748</x:v>
      </x:c>
      <x:c r="J103" s="16" t="n">
        <x:v>0</x:v>
      </x:c>
      <x:c r="K103" s="16" t="n">
        <x:v>0.01288566243194178</x:v>
      </x:c>
      <x:c r="L103" s="16" t="n">
        <x:v>0.0375389218431994</x:v>
      </x:c>
      <x:c r="M103" s="16" t="n">
        <x:v>0.02403745370693855</x:v>
      </x:c>
      <x:c r="N103" s="16" t="n">
        <x:v>0.027038036677792032</x:v>
      </x:c>
    </x:row>
    <x:row r="104">
      <x:c r="I104" s="253" t="n">
        <x:v>45778</x:v>
      </x:c>
      <x:c r="J104" s="16" t="n">
        <x:v>0</x:v>
      </x:c>
      <x:c r="K104" s="16" t="n">
        <x:v>0.0010822831727204107</x:v>
      </x:c>
      <x:c r="L104" s="16" t="n">
        <x:v>0.034870153248229174</x:v>
      </x:c>
      <x:c r="M104" s="16" t="n">
        <x:v>-0.03625118199888078</x:v>
      </x:c>
      <x:c r="N104" s="16" t="n">
        <x:v>0.013021785894729687</x:v>
      </x:c>
    </x:row>
    <x:row r="105">
      <x:c r="I105" s="253" t="n">
        <x:v>45809</x:v>
      </x:c>
      <x:c r="J105" s="16" t="n">
        <x:v>0</x:v>
      </x:c>
      <x:c r="K105" s="16" t="n">
        <x:v>-0.009407432206226973</x:v>
      </x:c>
      <x:c r="L105" s="16" t="n">
        <x:v>0.036210478830229764</x:v>
      </x:c>
      <x:c r="M105" s="16" t="n">
        <x:v>-0.06880558763579137</x:v>
      </x:c>
      <x:c r="N105" s="16" t="n">
        <x:v>0.004541210018735198</x:v>
      </x:c>
    </x:row>
    <x:row r="106">
      <x:c r="I106" s="253" t="n">
        <x:v>45839</x:v>
      </x:c>
      <x:c r="J106" s="16" t="n">
        <x:v>0</x:v>
      </x:c>
      <x:c r="K106" s="16" t="n">
        <x:v>-0.02603656307129787</x:v>
      </x:c>
      <x:c r="L106" s="16" t="n">
        <x:v>0.044249845009299626</x:v>
      </x:c>
      <x:c r="M106" s="16" t="n">
        <x:v>-0.10704440623379463</x:v>
      </x:c>
      <x:c r="N106" s="16" t="n">
        <x:v>-0.004463529448308412</x:v>
      </x:c>
    </x:row>
    <x:row r="107">
      <x:c r="I107" s="253" t="n">
        <x:v>45870</x:v>
      </x:c>
      <x:c r="J107" s="16" t="n">
        <x:v>0</x:v>
      </x:c>
      <x:c r="K107" s="16" t="n">
        <x:v>-0.03521536138521553</x:v>
      </x:c>
      <x:c r="L107" s="16" t="n">
        <x:v>0.048370014465798805</x:v>
      </x:c>
      <x:c r="M107" s="16" t="n">
        <x:v>-0.09212201891898764</x:v>
      </x:c>
      <x:c r="N107" s="16" t="n">
        <x:v>0.006188934139703672</x:v>
      </x:c>
    </x:row>
    <x:row r="108">
      <x:c r="I108" s="253" t="n">
        <x:v>45901</x:v>
      </x:c>
      <x:c r="J108" s="16" t="n">
        <x:v>0.12004801920768315</x:v>
      </x:c>
      <x:c r="K108" s="16" t="n">
        <x:v>-0.02165949812717216</x:v>
      </x:c>
      <x:c r="L108" s="16" t="n">
        <x:v>0.048370014465798805</x:v>
      </x:c>
      <x:c r="M108" s="16" t="n">
        <x:v>-0.056319125619746946</x:v>
      </x:c>
      <x:c r="N108" s="16" t="n">
        <x:v>0.012203830234119417</x:v>
      </x:c>
    </x:row>
    <x:row r="109">
      <x:c r="I109" s="253" t="n">
        <x:v>45931</x:v>
      </x:c>
      <x:c r="J109" s="16" t="n">
        <x:v>0.12004801920768315</x:v>
      </x:c>
      <x:c r="K109" s="16" t="n">
        <x:v>-0.032683720550102935</x:v>
      </x:c>
      <x:c r="L109" s="16" t="n">
        <x:v>0.0404566435591287</x:v>
      </x:c>
      <x:c r="M109" s="16" t="n">
        <x:v>0.027365747637305038</x:v>
      </x:c>
      <x:c r="N109" s="16" t="n">
        <x:v>0.03139207864505322</x:v>
      </x:c>
    </x:row>
    <x:row r="110">
      <x:c r="I110" s="253" t="n">
        <x:v>45962</x:v>
      </x:c>
      <x:c r="J110" s="16" t="n">
        <x:v>0.12004801920768315</x:v>
      </x:c>
      <x:c r="K110" s="16" t="n">
        <x:v>-0.03446159603330523</x:v>
      </x:c>
      <x:c r="L110" s="16" t="n">
        <x:v>0.043001481190587</x:v>
      </x:c>
      <x:c r="M110" s="16" t="n">
        <x:v>0.015518028297581088</x:v>
      </x:c>
      <x:c r="N110" s="16" t="n">
        <x:v>0.029195896008011646</x:v>
      </x:c>
    </x:row>
    <x:row r="111">
      <x:c r="I111" s="253" t="n">
        <x:v>45992</x:v>
      </x:c>
      <x:c r="J111" s="16" t="n">
        <x:v>0.12004801920768315</x:v>
      </x:c>
      <x:c r="K111" s="16" t="n">
        <x:v>-0.044837529362163564</x:v>
      </x:c>
      <x:c r="L111" s="16" t="n">
        <x:v>0.05318894646531058</x:v>
      </x:c>
      <x:c r="M111" s="16" t="n">
        <x:v>0.05355525620828483</x:v>
      </x:c>
      <x:c r="N111" s="16" t="n">
        <x:v>0.04238579226569672</x:v>
      </x:c>
    </x:row>
    <x:row r="112">
      <x:c r="I112" s="253" t="n">
        <x:v>46023</x:v>
      </x:c>
      <x:c r="J112" s="16" t="n">
        <x:v>0.12004801920768315</x:v>
      </x:c>
      <x:c r="K112" s="16" t="n">
        <x:v>-0.036373562630088285</x:v>
      </x:c>
      <x:c r="L112" s="16" t="n">
        <x:v>0.05896413662401079</x:v>
      </x:c>
      <x:c r="M112" s="16" t="n">
        <x:v>0.0392867145924749</x:v>
      </x:c>
      <x:c r="N112" s="16" t="n">
        <x:v>0.04278421095744456</x:v>
      </x:c>
    </x:row>
    <x:row r="113">
      <x:c r="I113" s="253" t="n">
        <x:v>46054</x:v>
      </x:c>
      <x:c r="J113" s="16" t="n">
        <x:v>0.12004801920768315</x:v>
      </x:c>
      <x:c r="K113" s="16" t="n">
        <x:v>-0.04488795415573554</x:v>
      </x:c>
      <x:c r="L113" s="16" t="n">
        <x:v>0.046136485172069586</x:v>
      </x:c>
      <x:c r="M113" s="16" t="n">
        <x:v>0.009613736651713944</x:v>
      </x:c>
      <x:c r="N113" s="16" t="n">
        <x:v>0.025718513542372312</x:v>
      </x:c>
    </x:row>
    <x:row r="114">
      <x:c r="I114" s="253" t="n">
        <x:v>46082</x:v>
      </x:c>
      <x:c r="J114" s="16" t="n">
        <x:v>0.12004801920768315</x:v>
      </x:c>
      <x:c r="K114" s="16" t="n">
        <x:v>-0.03174718436167967</x:v>
      </x:c>
      <x:c r="L114" s="16" t="n">
        <x:v>0.05585128678011553</x:v>
      </x:c>
      <x:c r="M114" s="16" t="n">
        <x:v>0.08540846533617752</x:v>
      </x:c>
      <x:c r="N114" s="16" t="n">
        <x:v>0.04568678872324794</x:v>
      </x:c>
    </x:row>
    <x:row r="115">
      <x:c r="I115" s="253" t="n">
        <x:v>46113</x:v>
      </x:c>
      <x:c r="J115" s="16" t="n">
        <x:v>0.12004801920768315</x:v>
      </x:c>
      <x:c r="K115" s="16" t="n">
        <x:v>0.030800566060504186</x:v>
      </x:c>
      <x:c r="L115" s="16" t="n">
        <x:v>0.057209321820772985</x:v>
      </x:c>
      <x:c r="M115" s="16" t="n">
        <x:v>0.1260905590485939</x:v>
      </x:c>
      <x:c r="N115" s="16" t="n">
        <x:v>0.05654866637529654</x:v>
      </x:c>
    </x:row>
    <x:row r="116">
      <x:c r="I116" s="253" t="n">
        <x:v>46143</x:v>
      </x:c>
      <x:c r="J116" s="16" t="n">
        <x:v>0.12004801920768315</x:v>
      </x:c>
      <x:c r="K116" s="16" t="n">
        <x:v>0.1604786517186736</x:v>
      </x:c>
      <x:c r="L116" s="16" t="n">
        <x:v>0.057209321820772985</x:v>
      </x:c>
      <x:c r="M116" s="16" t="n">
        <x:v>0.18906248435638418</x:v>
      </x:c>
      <x:c r="N116" s="16" t="n">
        <x:v>0.07457522922804238</x:v>
      </x:c>
    </x:row>
    <x:row r="117">
      <x:c r="I117" s="253" t="n">
        <x:v>46174</x:v>
      </x:c>
      <x:c r="J117" s="16" t="n">
        <x:v>0.12004801920768315</x:v>
      </x:c>
      <x:c r="K117" s="16" t="n">
        <x:v>0.13138140675401155</x:v>
      </x:c>
      <x:c r="L117" s="16" t="n">
        <x:v>0.0692497352326813</x:v>
      </x:c>
      <x:c r="M117" s="16" t="n">
        <x:v>0.2459742172020376</x:v>
      </x:c>
      <x:c r="N117" s="16" t="n">
        <x:v>0.09399961741814433</x:v>
      </x:c>
    </x:row>
    <x:row r="118">
      <x:c r="I118" s="253" t="n">
        <x:v>46204</x:v>
      </x:c>
      <x:c r="J118" s="16" t="n">
        <x:v>0.12004801920768315</x:v>
      </x:c>
      <x:c r="K118" s="16" t="n">
        <x:v>0.07208150792667567</x:v>
      </x:c>
      <x:c r="L118" s="16" t="n">
        <x:v>0.05311069882498454</x:v>
      </x:c>
      <x:c r="M118" s="16" t="n">
        <x:v>0.3275055781398051</x:v>
      </x:c>
      <x:c r="N118" s="16" t="n">
        <x:v>0.11038032975197076</x:v>
      </x:c>
    </x:row>
    <x:row r="119">
      <x:c r="I119" s="253" t="n">
        <x:v>46235</x:v>
      </x:c>
      <x:c r="J119" s="16" t="n">
        <x:v>0.12004801920768315</x:v>
      </x:c>
      <x:c r="K119" s="16" t="n">
        <x:v>0.07283475756484847</x:v>
      </x:c>
      <x:c r="L119" s="16" t="n">
        <x:v>0.04897189813845171</x:v>
      </x:c>
      <x:c r="M119" s="16" t="n">
        <x:v>0.3202172966725809</x:v>
      </x:c>
      <x:c r="N119" s="16" t="n">
        <x:v>0.10495430698334451</x:v>
      </x:c>
    </x:row>
  </x:sheetData>
  <x:mergeCells>
    <x:mergeCell ref="A1:N1"/>
    <x:mergeCell ref="A2:N2"/>
  </x:mergeCells>
  <x:pageMargins left="0.7" right="0.7" top="0.75" bottom="0.75" header="0.3" footer="0.3"/>
</x:worksheet>
</file>

<file path=xl/worksheets/sheet2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8" hidden="0" customWidth="1"/>
    <x:col min="8" max="8" width="34" hidden="0" customWidth="1"/>
    <x:col min="9" max="9" width="14" hidden="0" customWidth="1"/>
    <x:col min="10" max="10" width="14" hidden="0" customWidth="1"/>
    <x:col min="11" max="11" width="14" hidden="0" customWidth="1"/>
    <x:col min="12" max="12" width="14" hidden="0" customWidth="1"/>
    <x:col min="13" max="13" width="38" hidden="0" customWidth="1"/>
    <x:col min="14" max="14" width="42" hidden="0" customWidth="1"/>
  </x:cols>
  <x:sheetData>
    <x:row r="1">
      <x:c r="A1" s="330" t="str">
        <x:v>Regression Robustness and Lag Checks</x:v>
      </x:c>
      <x:c r="B1" s="330"/>
      <x:c r="C1" s="330"/>
      <x:c r="D1" s="330"/>
      <x:c r="E1" s="330"/>
      <x:c r="F1" s="330"/>
      <x:c r="G1" s="330"/>
      <x:c r="H1" s="330"/>
      <x:c r="I1" s="330"/>
      <x:c r="J1" s="330"/>
      <x:c r="K1" s="330"/>
      <x:c r="L1" s="330"/>
      <x:c r="M1" s="330"/>
      <x:c r="N1" s="330"/>
    </x:row>
    <x:row r="2">
      <x:c r="A2" s="332" t="str">
        <x:v>This sheet tests whether the first-round regression findings survive reasonable timing and specification changes. Common 0/3/6/9/12-month lags are compared without selecting a single variable's best lag by hand. A mixed-timing model is shown only as a post-diagnostic exploratory check, not as the preferred specification.</x:v>
      </x:c>
      <x:c r="B2" s="332"/>
      <x:c r="C2" s="332"/>
      <x:c r="D2" s="332"/>
      <x:c r="E2" s="332"/>
      <x:c r="F2" s="332"/>
      <x:c r="G2" s="332"/>
      <x:c r="H2" s="332"/>
      <x:c r="I2" s="332"/>
      <x:c r="J2" s="332"/>
      <x:c r="K2" s="332"/>
      <x:c r="L2" s="332"/>
      <x:c r="M2" s="332"/>
      <x:c r="N2" s="332"/>
    </x:row>
    <x:row r="4">
      <x:c r="A4" s="335" t="str">
        <x:v>Common Supply Lag</x:v>
      </x:c>
      <x:c r="B4" s="335" t="str">
        <x:v>N</x:v>
      </x:c>
      <x:c r="C4" s="335" t="str">
        <x:v>R²</x:v>
      </x:c>
      <x:c r="D4" s="335" t="str">
        <x:v>Adj. R²</x:v>
      </x:c>
      <x:c r="E4" s="335" t="str">
        <x:v>AIC</x:v>
      </x:c>
      <x:c r="F4" s="335" t="str">
        <x:v>Max VIF</x:v>
      </x:c>
      <x:c r="G4" s="335" t="str">
        <x:v>Resin Std. Beta</x:v>
      </x:c>
      <x:c r="H4" s="335" t="str">
        <x:v>Tooling Std. Beta</x:v>
      </x:c>
      <x:c r="I4" s="335" t="str">
        <x:v>Freight Std. Beta</x:v>
      </x:c>
      <x:c r="J4" s="335" t="str">
        <x:v>Demand Std. Beta</x:v>
      </x:c>
    </x:row>
    <x:row r="5">
      <x:c r="A5" s="20" t="str">
        <x:v>0 months</x:v>
      </x:c>
      <x:c r="B5" s="20" t="n">
        <x:v>79</x:v>
      </x:c>
      <x:c r="C5" s="22" t="n">
        <x:v>0.6298457407399287</x:v>
      </x:c>
      <x:c r="D5" s="22" t="n">
        <x:v>0.6098374024015465</x:v>
      </x:c>
      <x:c r="E5" s="40" t="n">
        <x:v>-263.23727698311814</x:v>
      </x:c>
      <x:c r="F5" s="22" t="n">
        <x:v>2.2865309362513635</x:v>
      </x:c>
      <x:c r="G5" s="22" t="n">
        <x:v>0.17322875834202026</x:v>
      </x:c>
      <x:c r="H5" s="22" t="n">
        <x:v>0.3150166531266756</x:v>
      </x:c>
      <x:c r="I5" s="22" t="n">
        <x:v>0.4777752941362721</x:v>
      </x:c>
      <x:c r="J5" s="22" t="n">
        <x:v>-0.07648934493440573</x:v>
      </x:c>
    </x:row>
    <x:row r="6">
      <x:c r="A6" s="20" t="str">
        <x:v>3 months</x:v>
      </x:c>
      <x:c r="B6" s="20" t="n">
        <x:v>76</x:v>
      </x:c>
      <x:c r="C6" s="22" t="n">
        <x:v>0.5865248844019896</x:v>
      </x:c>
      <x:c r="D6" s="22" t="n">
        <x:v>0.5632305116922425</x:v>
      </x:c>
      <x:c r="E6" s="40" t="n">
        <x:v>-243.23392485456145</x:v>
      </x:c>
      <x:c r="F6" s="22" t="n">
        <x:v>2.3513598551219586</x:v>
      </x:c>
      <x:c r="G6" s="22" t="n">
        <x:v>0.5139902958145794</x:v>
      </x:c>
      <x:c r="H6" s="22" t="n">
        <x:v>0.40527858786680576</x:v>
      </x:c>
      <x:c r="I6" s="22" t="n">
        <x:v>0.13551869399217426</x:v>
      </x:c>
      <x:c r="J6" s="22" t="n">
        <x:v>0.015859906269734637</x:v>
      </x:c>
    </x:row>
    <x:row r="7">
      <x:c r="A7" s="20" t="str">
        <x:v>6 months</x:v>
      </x:c>
      <x:c r="B7" s="20" t="n">
        <x:v>73</x:v>
      </x:c>
      <x:c r="C7" s="22" t="n">
        <x:v>0.5864519048606622</x:v>
      </x:c>
      <x:c r="D7" s="22" t="n">
        <x:v>0.5621255463230541</x:v>
      </x:c>
      <x:c r="E7" s="40" t="n">
        <x:v>-232.12315432109267</x:v>
      </x:c>
      <x:c r="F7" s="22" t="n">
        <x:v>2.2949167935155694</x:v>
      </x:c>
      <x:c r="G7" s="22" t="n">
        <x:v>0.7354698048424662</x:v>
      </x:c>
      <x:c r="H7" s="22" t="n">
        <x:v>0.24272458043111722</x:v>
      </x:c>
      <x:c r="I7" s="22" t="n">
        <x:v>-0.0306010304200234</x:v>
      </x:c>
      <x:c r="J7" s="22" t="n">
        <x:v>0.026961673236739734</x:v>
      </x:c>
    </x:row>
    <x:row r="8">
      <x:c r="A8" s="20" t="str">
        <x:v>9 months</x:v>
      </x:c>
      <x:c r="B8" s="20" t="n">
        <x:v>70</x:v>
      </x:c>
      <x:c r="C8" s="22" t="n">
        <x:v>0.5733880793294939</x:v>
      </x:c>
      <x:c r="D8" s="22" t="n">
        <x:v>0.5471350380574627</x:v>
      </x:c>
      <x:c r="E8" s="40" t="n">
        <x:v>-219.0236858705333</x:v>
      </x:c>
      <x:c r="F8" s="22" t="n">
        <x:v>2.3128407665543453</x:v>
      </x:c>
      <x:c r="G8" s="22" t="n">
        <x:v>0.8053481565679754</x:v>
      </x:c>
      <x:c r="H8" s="22" t="n">
        <x:v>0.02582052934053734</x:v>
      </x:c>
      <x:c r="I8" s="22" t="n">
        <x:v>-0.21541349600033638</x:v>
      </x:c>
      <x:c r="J8" s="22" t="n">
        <x:v>-0.030542877740658468</x:v>
      </x:c>
    </x:row>
    <x:row r="9">
      <x:c r="A9" s="20" t="str">
        <x:v>12 months</x:v>
      </x:c>
      <x:c r="B9" s="20" t="n">
        <x:v>67</x:v>
      </x:c>
      <x:c r="C9" s="22" t="n">
        <x:v>0.5102458921262093</x:v>
      </x:c>
      <x:c r="D9" s="22" t="n">
        <x:v>0.4786488529085454</x:v>
      </x:c>
      <x:c r="E9" s="40" t="n">
        <x:v>-199.13724416889818</x:v>
      </x:c>
      <x:c r="F9" s="22" t="n">
        <x:v>2.434809988335197</x:v>
      </x:c>
      <x:c r="G9" s="22" t="n">
        <x:v>0.6300429289594962</x:v>
      </x:c>
      <x:c r="H9" s="22" t="n">
        <x:v>-0.320686401408879</x:v>
      </x:c>
      <x:c r="I9" s="22" t="n">
        <x:v>-0.1648983670630877</x:v>
      </x:c>
      <x:c r="J9" s="22" t="n">
        <x:v>-0.16137620571916073</x:v>
      </x:c>
    </x:row>
    <x:row r="12">
      <x:c r="A12" s="338" t="str">
        <x:v>Common Lag</x:v>
      </x:c>
      <x:c r="B12" s="338" t="str">
        <x:v>Resin p</x:v>
      </x:c>
      <x:c r="C12" s="338" t="str">
        <x:v>Tooling p</x:v>
      </x:c>
      <x:c r="D12" s="338" t="str">
        <x:v>Freight p</x:v>
      </x:c>
      <x:c r="E12" s="338" t="str">
        <x:v>Demand p</x:v>
      </x:c>
      <x:c r="F12" s="338" t="str">
        <x:v>Interpretation</x:v>
      </x:c>
      <x:c r="H12" s="341" t="str">
        <x:v>Robustness Check</x:v>
      </x:c>
      <x:c r="I12" s="341" t="str">
        <x:v>N</x:v>
      </x:c>
      <x:c r="J12" s="341" t="str">
        <x:v>R²</x:v>
      </x:c>
      <x:c r="K12" s="341" t="str">
        <x:v>Adj. R²</x:v>
      </x:c>
      <x:c r="L12" s="341" t="str">
        <x:v>Max VIF</x:v>
      </x:c>
      <x:c r="M12" s="341" t="str">
        <x:v>Key Result</x:v>
      </x:c>
      <x:c r="N12" s="341" t="str">
        <x:v>Use</x:v>
      </x:c>
    </x:row>
    <x:row r="13">
      <x:c r="A13" s="20" t="str">
        <x:v>0 months</x:v>
      </x:c>
      <x:c r="B13" s="22" t="n">
        <x:v>0.09129411936607003</x:v>
      </x:c>
      <x:c r="C13" s="22" t="n">
        <x:v>0.0410475498498</x:v>
      </x:c>
      <x:c r="D13" s="22" t="n">
        <x:v>0.0006346014947102416</x:v>
      </x:c>
      <x:c r="E13" s="22" t="n">
        <x:v>0.14276812678030928</x:v>
      </x:c>
      <x:c r="F13" s="20" t="str">
        <x:v>Baseline annual-change model.</x:v>
      </x:c>
      <x:c r="H13" s="20" t="str">
        <x:v>Mixed timing: resin 12m, tooling/freight 0m</x:v>
      </x:c>
      <x:c r="I13" s="20" t="n">
        <x:v>67</x:v>
      </x:c>
      <x:c r="J13" s="22" t="n">
        <x:v>0.5944166489030349</x:v>
      </x:c>
      <x:c r="K13" s="22" t="n">
        <x:v>0.5682499810903275</x:v>
      </x:c>
      <x:c r="L13" s="22" t="n">
        <x:v>2.9407646234279663</x:v>
      </x:c>
      <x:c r="M13" s="20" t="str">
        <x:v>Std betas: resin -0.12, tooling 0.41, freight 0.54</x:v>
      </x:c>
      <x:c r="N13" s="20" t="str">
        <x:v>Exploratory only; timing chosen after diagnostics.</x:v>
      </x:c>
    </x:row>
    <x:row r="14">
      <x:c r="A14" s="20" t="str">
        <x:v>3 months</x:v>
      </x:c>
      <x:c r="B14" s="22" t="n">
        <x:v>3.8993769373821906e-14</x:v>
      </x:c>
      <x:c r="C14" s="22" t="n">
        <x:v>0.04923767924792383</x:v>
      </x:c>
      <x:c r="D14" s="22" t="n">
        <x:v>0.5182701996667509</x:v>
      </x:c>
      <x:c r="E14" s="22" t="n">
        <x:v>0.8179086234189624</x:v>
      </x:c>
      <x:c r="F14" s="20" t="str">
        <x:v>Plausible short production/pricing delay.</x:v>
      </x:c>
      <x:c r="H14" s="20" t="str">
        <x:v>Supply-only: remove demand control</x:v>
      </x:c>
      <x:c r="I14" s="20" t="n">
        <x:v>80</x:v>
      </x:c>
      <x:c r="J14" s="22" t="n">
        <x:v>0.6289632766469362</x:v>
      </x:c>
      <x:c r="K14" s="22" t="n">
        <x:v>0.6143170901987889</x:v>
      </x:c>
      <x:c r="L14" s="22" t="n">
        <x:v>2.224064830940262</x:v>
      </x:c>
      <x:c r="M14" s="20" t="str">
        <x:v>Supply betas remain similar; freight 0.48, tooling 0.33</x:v>
      </x:c>
      <x:c r="N14" s="20" t="str">
        <x:v>Shows noisy demand proxy is not driving the core supply result.</x:v>
      </x:c>
    </x:row>
    <x:row r="15">
      <x:c r="A15" s="20" t="str">
        <x:v>6 months</x:v>
      </x:c>
      <x:c r="B15" s="22" t="n">
        <x:v>2.539013601882773e-34</x:v>
      </x:c>
      <x:c r="C15" s="22" t="n">
        <x:v>0.1796043837970055</x:v>
      </x:c>
      <x:c r="D15" s="22" t="n">
        <x:v>0.8868653388747553</x:v>
      </x:c>
      <x:c r="E15" s="22" t="n">
        <x:v>0.739904111429847</x:v>
      </x:c>
      <x:c r="F15" s="20" t="str">
        <x:v>Plausible short production/pricing delay.</x:v>
      </x:c>
      <x:c r="H15" s="20" t="str">
        <x:v>Pre-Sep-2025 sample only</x:v>
      </x:c>
      <x:c r="I15" s="20" t="n">
        <x:v>68</x:v>
      </x:c>
      <x:c r="J15" s="22" t="n">
        <x:v>0.7201346862701647</x:v>
      </x:c>
      <x:c r="K15" s="22" t="n">
        <x:v>0.7023654600016038</x:v>
      </x:c>
      <x:c r="L15" s="22" t="n">
        <x:v>2.352439027382428</x:v>
      </x:c>
      <x:c r="M15" s="20" t="str">
        <x:v>Before $27.99 regime: freight 0.59, tooling 0.21, resin 0.22</x:v>
      </x:c>
      <x:c r="N15" s="20" t="str">
        <x:v>Checks whether the full-sample result depends on the 2025–26 price regime.</x:v>
      </x:c>
    </x:row>
    <x:row r="16">
      <x:c r="A16" s="20" t="str">
        <x:v>9 months</x:v>
      </x:c>
      <x:c r="B16" s="22" t="n">
        <x:v>3.692603378694205e-32</x:v>
      </x:c>
      <x:c r="C16" s="22" t="n">
        <x:v>0.8943995844993543</x:v>
      </x:c>
      <x:c r="D16" s="22" t="n">
        <x:v>0.3485719552152814</x:v>
      </x:c>
      <x:c r="E16" s="22" t="n">
        <x:v>0.6202656395598662</x:v>
      </x:c>
      <x:c r="F16" s="20" t="str">
        <x:v>Longer delay check; sample size falls and estimates become less precise.</x:v>
      </x:c>
    </x:row>
    <x:row r="17">
      <x:c r="A17" s="20" t="str">
        <x:v>12 months</x:v>
      </x:c>
      <x:c r="B17" s="22" t="n">
        <x:v>9.4607955790515e-9</x:v>
      </x:c>
      <x:c r="C17" s="22" t="n">
        <x:v>0.16352709293430123</x:v>
      </x:c>
      <x:c r="D17" s="22" t="n">
        <x:v>0.4713734667038445</x:v>
      </x:c>
      <x:c r="E17" s="22" t="n">
        <x:v>0.00646286355438496</x:v>
      </x:c>
      <x:c r="F17" s="20" t="str">
        <x:v>Longer delay check; sample size falls and estimates become less precise.</x:v>
      </x:c>
    </x:row>
    <x:row r="18">
      <x:c r="H18" s="351" t="str">
        <x:v>Timing Takeaway</x:v>
      </x:c>
      <x:c r="I18" s="351" t="str">
        <x:v>Freight</x:v>
      </x:c>
      <x:c r="J18" s="351" t="str">
        <x:v>Tooling</x:v>
      </x:c>
      <x:c r="K18" s="351" t="str">
        <x:v>Resin</x:v>
      </x:c>
      <x:c r="L18" s="351" t="str">
        <x:v>Demand</x:v>
      </x:c>
      <x:c r="M18" s="351" t="str">
        <x:v>Preferred Reading</x:v>
      </x:c>
      <x:c r="N18" s="351" t="str">
        <x:v>Status</x:v>
      </x:c>
    </x:row>
    <x:row r="19">
      <x:c r="H19" s="20" t="str">
        <x:v>Lag-family pattern</x:v>
      </x:c>
      <x:c r="I19" s="20" t="str">
        <x:v>Strongest at 0 months; fades after 3 months</x:v>
      </x:c>
      <x:c r="J19" s="20" t="str">
        <x:v>Strongest at 0–3 months; fades thereafter</x:v>
      </x:c>
      <x:c r="K19" s="20" t="str">
        <x:v>Stronger at 3–12 months than at 0 months</x:v>
      </x:c>
      <x:c r="L19" s="20" t="str">
        <x:v>Unstable / noisy</x:v>
      </x:c>
      <x:c r="M19" s="20" t="str">
        <x:v>Different cost categories appear to operate on different timing horizons; no single common lag should be treated as 'the' true delay.</x:v>
      </x:c>
      <x:c r="N19" s="20" t="str">
        <x:v>Interpretive finding, not causal timing estimate</x:v>
      </x:c>
    </x:row>
    <x:row r="21">
      <x:c r="A21" s="344" t="str">
        <x:v>Question</x:v>
      </x:c>
      <x:c r="B21" s="344" t="str">
        <x:v>Finding</x:v>
      </x:c>
      <x:c r="C21" s="344" t="str">
        <x:v>Interpretation</x:v>
      </x:c>
      <x:c r="D21" s="344" t="str">
        <x:v>Decision</x:v>
      </x:c>
    </x:row>
    <x:row r="22">
      <x:c r="A22" s="20" t="str">
        <x:v>Do longer lags improve the model?</x:v>
      </x:c>
      <x:c r="B22" s="20" t="str">
        <x:v>The highest adjusted R² among common-lag models occurs at 0 months (0.610), but fit differences are not treated as automatic model-selection proof.</x:v>
      </x:c>
      <x:c r="C22" s="20" t="str">
        <x:v>Different inputs may enter Hasbro's pricing process on different schedules, and annual-change windows already smooth timing.</x:v>
      </x:c>
      <x:c r="D22" s="20" t="str">
        <x:v>Keep the 0-month annual-change model as the clean baseline; show 3/6/9/12-month models as robustness checks.</x:v>
      </x:c>
    </x:row>
    <x:row r="23">
      <x:c r="A23" s="20" t="str">
        <x:v>Does freight survive timing changes?</x:v>
      </x:c>
      <x:c r="B23" s="20" t="str">
        <x:v>Freight is strongest and highly significant in the 0-month baseline, remains positive at 3 months, but fades and turns negative in longer common-lag models.</x:v>
      </x:c>
      <x:c r="C23" s="20" t="str">
        <x:v>Freight appears to line up with MSRP mainly as contemporaneous / near-term annual cost pressure rather than as a long-lead predictor.</x:v>
      </x:c>
      <x:c r="D23" s="20" t="str">
        <x:v>Retain freight as the strongest baseline association, but do not describe it as robust across long lags.</x:v>
      </x:c>
    </x:row>
    <x:row r="24">
      <x:c r="A24" s="20" t="str">
        <x:v>Does tooling survive?</x:v>
      </x:c>
      <x:c r="B24" s="20" t="str">
        <x:v>Tooling is positive and statistically meaningful at 0–3 months, weakens by 6–9 months, and turns negative at 12 months.</x:v>
      </x:c>
      <x:c r="C24" s="20" t="str">
        <x:v>Tooling appears most relevant as current or short-delay cost pressure rather than a one-year leading indicator.</x:v>
      </x:c>
      <x:c r="D24" s="20" t="str">
        <x:v>Retain tooling in the baseline; describe its timing sensitivity explicitly.</x:v>
      </x:c>
    </x:row>
    <x:row r="25">
      <x:c r="A25" s="20" t="str">
        <x:v>Does resin survive?</x:v>
      </x:c>
      <x:c r="B25" s="20" t="str">
        <x:v>Resin is only borderline in the 0-month baseline but becomes strongly positive in the 3–12 month common-lag models.</x:v>
      </x:c>
      <x:c r="C25" s="20" t="str">
        <x:v>This supports a possible delayed relationship, but the mixed-timing model does not confirm a clean independent 12-month resin effect once current tooling and freight are included.</x:v>
      </x:c>
      <x:c r="D25" s="20" t="str">
        <x:v>Keep resin as important evidence with possible lead time; do not cherry-pick a single lag or call the delayed effect causal.</x:v>
      </x:c>
    </x:row>
    <x:row r="26">
      <x:c r="A26" s="20" t="str">
        <x:v>Is demand driving the result?</x:v>
      </x:c>
      <x:c r="B26" s="20" t="str">
        <x:v>Removing the broad demand proxy leaves the main 0-month supply-side coefficient pattern broadly intact. At long lags and in the pre-2025 sample the demand coefficient can become negative/significant, likely reflecting the proxy's pandemic/base-effect problems.</x:v>
      </x:c>
      <x:c r="C26" s="20" t="str">
        <x:v>The broad toy/hobby series is too noisy to carry strong line-specific interpretation.</x:v>
      </x:c>
      <x:c r="D26" s="20" t="str">
        <x:v>Keep demand as context/robustness, not a headline explanatory variable.</x:v>
      </x:c>
    </x:row>
    <x:row r="30">
      <x:c r="A30" s="347" t="str">
        <x:v>Check</x:v>
      </x:c>
      <x:c r="B30" s="347" t="str">
        <x:v>Variable</x:v>
      </x:c>
      <x:c r="C30" s="347" t="str">
        <x:v>Coefficient</x:v>
      </x:c>
      <x:c r="D30" s="347" t="str">
        <x:v>HAC SE</x:v>
      </x:c>
      <x:c r="E30" s="347" t="str">
        <x:v>p-value</x:v>
      </x:c>
      <x:c r="F30" s="347" t="str">
        <x:v>Std. Beta</x:v>
      </x:c>
      <x:c r="G30" s="347" t="str">
        <x:v>Comment</x:v>
      </x:c>
    </x:row>
    <x:row r="31">
      <x:c r="A31" s="20" t="str">
        <x:v>Mixed timing</x:v>
      </x:c>
      <x:c r="B31" s="20" t="str">
        <x:v>Resin lag12</x:v>
      </x:c>
      <x:c r="C31" s="22" t="n">
        <x:v>-0.03919154153599759</x:v>
      </x:c>
      <x:c r="D31" s="22" t="n">
        <x:v>0.05520578237873831</x:v>
      </x:c>
      <x:c r="E31" s="22" t="n">
        <x:v>0.47775540407284256</x:v>
      </x:c>
      <x:c r="F31" s="22" t="n">
        <x:v>-0.11600376474225026</x:v>
      </x:c>
      <x:c r="G31" s="20" t="str">
        <x:v>Robustness only; association, not causal pass-through.</x:v>
      </x:c>
    </x:row>
    <x:row r="32">
      <x:c r="A32" s="20" t="str">
        <x:v>Mixed timing</x:v>
      </x:c>
      <x:c r="B32" s="20" t="str">
        <x:v>Tooling lag0</x:v>
      </x:c>
      <x:c r="C32" s="22" t="n">
        <x:v>1.4376386564383838</x:v>
      </x:c>
      <x:c r="D32" s="22" t="n">
        <x:v>0.6039691407862435</x:v>
      </x:c>
      <x:c r="E32" s="22" t="n">
        <x:v>0.017297700391384237</x:v>
      </x:c>
      <x:c r="F32" s="22" t="n">
        <x:v>0.40947583453520825</x:v>
      </x:c>
      <x:c r="G32" s="20" t="str">
        <x:v>Robustness only; association, not causal pass-through.</x:v>
      </x:c>
    </x:row>
    <x:row r="33">
      <x:c r="A33" s="20" t="str">
        <x:v>Mixed timing</x:v>
      </x:c>
      <x:c r="B33" s="20" t="str">
        <x:v>Freight lag0</x:v>
      </x:c>
      <x:c r="C33" s="22" t="n">
        <x:v>0.2722575210835739</x:v>
      </x:c>
      <x:c r="D33" s="22" t="n">
        <x:v>0.06772752739555556</x:v>
      </x:c>
      <x:c r="E33" s="22" t="n">
        <x:v>0.00005822418621021815</x:v>
      </x:c>
      <x:c r="F33" s="22" t="n">
        <x:v>0.5363313374649015</x:v>
      </x:c>
      <x:c r="G33" s="20" t="str">
        <x:v>Robustness only; association, not causal pass-through.</x:v>
      </x:c>
    </x:row>
    <x:row r="34">
      <x:c r="A34" s="20" t="str">
        <x:v>Mixed timing</x:v>
      </x:c>
      <x:c r="B34" s="20" t="str">
        <x:v>Demand</x:v>
      </x:c>
      <x:c r="C34" s="22" t="n">
        <x:v>0.00625875750333992</x:v>
      </x:c>
      <x:c r="D34" s="22" t="n">
        <x:v>0.01354632589010657</x:v>
      </x:c>
      <x:c r="E34" s="22" t="n">
        <x:v>0.6440625305401153</x:v>
      </x:c>
      <x:c r="F34" s="22" t="n">
        <x:v>0.0387990489468344</x:v>
      </x:c>
      <x:c r="G34" s="20" t="str">
        <x:v>Robustness only; association, not causal pass-through.</x:v>
      </x:c>
    </x:row>
    <x:row r="35">
      <x:c r="A35" s="20" t="str">
        <x:v>Supply-only</x:v>
      </x:c>
      <x:c r="B35" s="20" t="str">
        <x:v>Resin</x:v>
      </x:c>
      <x:c r="C35" s="22" t="n">
        <x:v>0.05174648492803202</x:v>
      </x:c>
      <x:c r="D35" s="22" t="n">
        <x:v>0.03715332550753591</x:v>
      </x:c>
      <x:c r="E35" s="22" t="n">
        <x:v>0.16368570751126466</x:v>
      </x:c>
      <x:c r="F35" s="22" t="n">
        <x:v>0.14611890481489034</x:v>
      </x:c>
      <x:c r="G35" s="20" t="str">
        <x:v>Robustness only; association, not causal pass-through.</x:v>
      </x:c>
    </x:row>
    <x:row r="36">
      <x:c r="A36" s="20" t="str">
        <x:v>Supply-only</x:v>
      </x:c>
      <x:c r="B36" s="20" t="str">
        <x:v>Tooling</x:v>
      </x:c>
      <x:c r="C36" s="22" t="n">
        <x:v>0.804089666166744</x:v>
      </x:c>
      <x:c r="D36" s="22" t="n">
        <x:v>0.38041428186651993</x:v>
      </x:c>
      <x:c r="E36" s="22" t="n">
        <x:v>0.03453910158220545</x:v>
      </x:c>
      <x:c r="F36" s="22" t="n">
        <x:v>0.3259770425525175</x:v>
      </x:c>
      <x:c r="G36" s="20" t="str">
        <x:v>Robustness only; association, not causal pass-through.</x:v>
      </x:c>
    </x:row>
    <x:row r="37">
      <x:c r="A37" s="20" t="str">
        <x:v>Supply-only</x:v>
      </x:c>
      <x:c r="B37" s="20" t="str">
        <x:v>Freight</x:v>
      </x:c>
      <x:c r="C37" s="22" t="n">
        <x:v>0.23664176008918567</x:v>
      </x:c>
      <x:c r="D37" s="22" t="n">
        <x:v>0.0669483712239458</x:v>
      </x:c>
      <x:c r="E37" s="22" t="n">
        <x:v>0.00040825330620067394</x:v>
      </x:c>
      <x:c r="F37" s="22" t="n">
        <x:v>0.4840346690514639</x:v>
      </x:c>
      <x:c r="G37" s="20" t="str">
        <x:v>Robustness only; association, not causal pass-through.</x:v>
      </x:c>
    </x:row>
    <x:row r="38">
      <x:c r="A38" s="20" t="str">
        <x:v>Pre-Sep-2025</x:v>
      </x:c>
      <x:c r="B38" s="20" t="str">
        <x:v>Resin</x:v>
      </x:c>
      <x:c r="C38" s="22" t="n">
        <x:v>0.07249496153440758</x:v>
      </x:c>
      <x:c r="D38" s="22" t="n">
        <x:v>0.03149842785935048</x:v>
      </x:c>
      <x:c r="E38" s="22" t="n">
        <x:v>0.021361001892430218</x:v>
      </x:c>
      <x:c r="F38" s="22" t="n">
        <x:v>0.22019308546395888</x:v>
      </x:c>
      <x:c r="G38" s="20" t="str">
        <x:v>Robustness only; association, not causal pass-through.</x:v>
      </x:c>
    </x:row>
    <x:row r="39">
      <x:c r="A39" s="20" t="str">
        <x:v>Pre-Sep-2025</x:v>
      </x:c>
      <x:c r="B39" s="20" t="str">
        <x:v>Tooling</x:v>
      </x:c>
      <x:c r="C39" s="22" t="n">
        <x:v>0.4904620895180244</x:v>
      </x:c>
      <x:c r="D39" s="22" t="n">
        <x:v>0.3359989176311885</x:v>
      </x:c>
      <x:c r="E39" s="22" t="n">
        <x:v>0.14436888452251256</x:v>
      </x:c>
      <x:c r="F39" s="22" t="n">
        <x:v>0.21180121779886868</x:v>
      </x:c>
      <x:c r="G39" s="20" t="str">
        <x:v>Robustness only; association, not causal pass-through.</x:v>
      </x:c>
    </x:row>
    <x:row r="40">
      <x:c r="A40" s="20" t="str">
        <x:v>Pre-Sep-2025</x:v>
      </x:c>
      <x:c r="B40" s="20" t="str">
        <x:v>Freight</x:v>
      </x:c>
      <x:c r="C40" s="22" t="n">
        <x:v>0.2842382104552398</x:v>
      </x:c>
      <x:c r="D40" s="22" t="n">
        <x:v>0.041543751769965595</x:v>
      </x:c>
      <x:c r="E40" s="22" t="n">
        <x:v>7.81494373345973e-12</x:v>
      </x:c>
      <x:c r="F40" s="22" t="n">
        <x:v>0.591036521874555</x:v>
      </x:c>
      <x:c r="G40" s="20" t="str">
        <x:v>Robustness only; association, not causal pass-through.</x:v>
      </x:c>
    </x:row>
    <x:row r="41">
      <x:c r="A41" s="20" t="str">
        <x:v>Pre-Sep-2025</x:v>
      </x:c>
      <x:c r="B41" s="20" t="str">
        <x:v>Demand</x:v>
      </x:c>
      <x:c r="C41" s="22" t="n">
        <x:v>-0.02117919914163996</x:v>
      </x:c>
      <x:c r="D41" s="22" t="n">
        <x:v>0.004799047564494712</x:v>
      </x:c>
      <x:c r="E41" s="22" t="n">
        <x:v>0.000010184966163549835</x:v>
      </x:c>
      <x:c r="F41" s="22" t="n">
        <x:v>-0.13876855057149579</x:v>
      </x:c>
      <x:c r="G41" s="20" t="str">
        <x:v>Robustness only; association, not causal pass-through.</x:v>
      </x:c>
    </x:row>
  </x:sheetData>
  <x:mergeCells>
    <x:mergeCell ref="A1:N1"/>
    <x:mergeCell ref="A2:N2"/>
  </x:mergeCells>
  <x:pageMargins left="0.7" right="0.7" top="0.75" bottom="0.75" header="0.3" footer="0.3"/>
</x:worksheet>
</file>

<file path=xl/worksheets/sheet25.xml><?xml version="1.0" encoding="utf-8"?>
<x:worksheet xmlns:x="http://schemas.openxmlformats.org/spreadsheetml/2006/main">
  <x:sheetFormatPr defaultRowHeight="15"/>
  <x:cols>
    <x:col min="1" max="1" width="2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22" hidden="0" customWidth="1"/>
    <x:col min="9" max="9" width="22" hidden="0" customWidth="1"/>
    <x:col min="10" max="10" width="22" hidden="0" customWidth="1"/>
    <x:col min="11" max="11" width="34" hidden="0" customWidth="1"/>
    <x:col min="12" max="12" width="30" hidden="0" customWidth="1"/>
    <x:col min="13" max="13" width="30" hidden="0" customWidth="1"/>
    <x:col min="14" max="14" width="30" hidden="0" customWidth="1"/>
  </x:cols>
  <x:sheetData>
    <x:row r="1">
      <x:c r="A1" s="356" t="str">
        <x:v>Evidence Synthesis — What the Data Actually Support</x:v>
      </x:c>
      <x:c r="B1" s="356"/>
      <x:c r="C1" s="356"/>
      <x:c r="D1" s="356"/>
      <x:c r="E1" s="356"/>
      <x:c r="F1" s="356"/>
      <x:c r="G1" s="356"/>
      <x:c r="H1" s="356"/>
      <x:c r="I1" s="356"/>
      <x:c r="J1" s="356"/>
      <x:c r="K1" s="356"/>
      <x:c r="L1" s="356"/>
      <x:c r="M1" s="356"/>
      <x:c r="N1" s="356"/>
    </x:row>
    <x:row r="2">
      <x:c r="A2" s="358" t="str">
        <x:v>The three Marvel Legends MSRP increases do not share the same cost backdrop. The strongest production-cost evidence appears around the 2021 and 2022 increases. By 2025, resin and freight were no longer rising in the same way, so tariffs, labor, demand conditions, and pricing strategy become more important parts of the explanation.</x:v>
      </x:c>
      <x:c r="B2" s="358"/>
      <x:c r="C2" s="358"/>
      <x:c r="D2" s="358"/>
      <x:c r="E2" s="358"/>
      <x:c r="F2" s="358"/>
      <x:c r="G2" s="358"/>
      <x:c r="H2" s="358"/>
      <x:c r="I2" s="358"/>
      <x:c r="J2" s="358"/>
      <x:c r="K2" s="358"/>
      <x:c r="L2" s="358"/>
      <x:c r="M2" s="358"/>
      <x:c r="N2" s="358"/>
    </x:row>
    <x:row r="4">
      <x:c r="A4" s="361" t="str">
        <x:v>MSRP Change</x:v>
      </x:c>
      <x:c r="B4" s="361" t="str">
        <x:v>Retail Change</x:v>
      </x:c>
      <x:c r="C4" s="361" t="str">
        <x:v>12-mo Resin</x:v>
      </x:c>
      <x:c r="D4" s="361" t="str">
        <x:v>12-mo Tooling</x:v>
      </x:c>
      <x:c r="E4" s="361" t="str">
        <x:v>12-mo Paint</x:v>
      </x:c>
      <x:c r="F4" s="361" t="str">
        <x:v>12-mo Packaging</x:v>
      </x:c>
      <x:c r="G4" s="361" t="str">
        <x:v>12-mo Freight</x:v>
      </x:c>
      <x:c r="H4" s="361" t="str">
        <x:v>Demand Context</x:v>
      </x:c>
      <x:c r="I4" s="361" t="str">
        <x:v>Tariff Context</x:v>
      </x:c>
      <x:c r="J4" s="361" t="str">
        <x:v>Labor Context</x:v>
      </x:c>
      <x:c r="K4" s="361" t="str">
        <x:v>Hasbro / Timing Evidence</x:v>
      </x:c>
      <x:c r="L4" s="361" t="str">
        <x:v>Production-Cost Case</x:v>
      </x:c>
      <x:c r="M4" s="361" t="str">
        <x:v>What We Can Say</x:v>
      </x:c>
      <x:c r="N4" s="361" t="str">
        <x:v>What We Cannot Say</x:v>
      </x:c>
    </x:row>
    <x:row r="5">
      <x:c r="A5" s="20" t="str">
        <x:v>Jul 2021: $19.99 → $22.99</x:v>
      </x:c>
      <x:c r="B5" s="23" t="n">
        <x:v>0.1500750375</x:v>
      </x:c>
      <x:c r="C5" s="23" t="n">
        <x:v>0.5772793759</x:v>
      </x:c>
      <x:c r="D5" s="23" t="n">
        <x:v>0.0295047418</x:v>
      </x:c>
      <x:c r="E5" s="23" t="n">
        <x:v>0.0614152203</x:v>
      </x:c>
      <x:c r="F5" s="23" t="n">
        <x:v>0.0511144837</x:v>
      </x:c>
      <x:c r="G5" s="23" t="n">
        <x:v>0.1673596674</x:v>
      </x:c>
      <x:c r="H5" s="20" t="str">
        <x:v>Action-figure dollar sales rose sharply in 2021; pandemic-era demand was unusually strong.</x:v>
      </x:c>
      <x:c r="I5" s="20" t="str">
        <x:v>No comparable 2025-style tariff shock.</x:v>
      </x:c>
      <x:c r="J5" s="20" t="str">
        <x:v>Labor costs were rising, but line-specific monthly labor data are unavailable.</x:v>
      </x:c>
      <x:c r="K5" s="20" t="str">
        <x:v>Hasbro explicitly said higher input and freight costs were driving price increases; implementation was underway in Q3 2021.</x:v>
      </x:c>
      <x:c r="L5" s="20" t="str">
        <x:v>Strong</x:v>
      </x:c>
      <x:c r="M5" s="20" t="str">
        <x:v>The first increase occurred after an unusually large resin shock plus meaningful freight pressure, with direct Hasbro confirmation that input and freight costs were affecting pricing.</x:v>
      </x:c>
      <x:c r="N5" s="20" t="str">
        <x:v>We cannot assign a precise share of the $3 increase to resin, freight, labor, or demand.</x:v>
      </x:c>
    </x:row>
    <x:row r="6">
      <x:c r="A6" s="20" t="str">
        <x:v>Apr 2022: $22.99 → $24.99</x:v>
      </x:c>
      <x:c r="B6" s="23" t="n">
        <x:v>0.0869943454</x:v>
      </x:c>
      <x:c r="C6" s="23" t="n">
        <x:v>0.0362267287</x:v>
      </x:c>
      <x:c r="D6" s="23" t="n">
        <x:v>0.0936647579</x:v>
      </x:c>
      <x:c r="E6" s="23" t="n">
        <x:v>0.1826969206</x:v>
      </x:c>
      <x:c r="F6" s="23" t="n">
        <x:v>0.1452002871</x:v>
      </x:c>
      <x:c r="G6" s="23" t="n">
        <x:v>0.1517641357</x:v>
      </x:c>
      <x:c r="H6" s="20" t="str">
        <x:v>Demand remained elevated, though pandemic base effects make simple growth comparisons noisy.</x:v>
      </x:c>
      <x:c r="I6" s="20" t="str">
        <x:v>No comparable 2025-style tariff shock.</x:v>
      </x:c>
      <x:c r="J6" s="20" t="str">
        <x:v>Labor pressure remained positive and historically meaningful in Hasbro COGS.</x:v>
      </x:c>
      <x:c r="K6" s="20" t="str">
        <x:v>Hasbro said additional price increases were scheduled for Q2 2022; product evidence shows the $24.99 tier appearing in 2022 solicitations.</x:v>
      </x:c>
      <x:c r="L6" s="20" t="str">
        <x:v>Strong, but broader than 2021</x:v>
      </x:c>
      <x:c r="M6" s="20" t="str">
        <x:v>The second increase followed broad production inflation across tooling, paint, packaging, and freight rather than another resin spike.</x:v>
      </x:c>
      <x:c r="N6" s="20" t="str">
        <x:v>The data do not isolate one dominant production input or prove full cost pass-through.</x:v>
      </x:c>
    </x:row>
    <x:row r="7">
      <x:c r="A7" s="20" t="str">
        <x:v>Sep 2025: $24.99 → $27.99</x:v>
      </x:c>
      <x:c r="B7" s="23" t="n">
        <x:v>0.1200480192</x:v>
      </x:c>
      <x:c r="C7" s="23" t="n">
        <x:v>-0.0095968353</x:v>
      </x:c>
      <x:c r="D7" s="23" t="n">
        <x:v>0.0483700145</x:v>
      </x:c>
      <x:c r="E7" s="23" t="n">
        <x:v>0.0364230018</x:v>
      </x:c>
      <x:c r="F7" s="23" t="n">
        <x:v>0.0311768127</x:v>
      </x:c>
      <x:c r="G7" s="23" t="n">
        <x:v>-0.0517883953</x:v>
      </x:c>
      <x:c r="H7" s="20" t="str">
        <x:v>Action-figure sales recovered and 2025 toy demand strengthened; this is context, not a clean Marvel Legends demand measure.</x:v>
      </x:c>
      <x:c r="I7" s="20" t="str">
        <x:v>China-origin toy duty proxy was about 30% during the MSRP change; Hasbro recognized $44.9m of tariff cost in FY2025 (~4.9% of Consumer Products COGS).</x:v>
      </x:c>
      <x:c r="J7" s="20" t="str">
        <x:v>Wage benchmarks imply meaningful labor pressure, but the plausible labor-driven COGS effect is a sensitivity range, not a Marvel Legends estimate.</x:v>
      </x:c>
      <x:c r="K7" s="20" t="str">
        <x:v>Hasbro had already discussed targeted pricing as part of tariff mitigation before the September 2025 MSRP increase.</x:v>
      </x:c>
      <x:c r="L7" s="20" t="str">
        <x:v>Mixed / weaker commodity-freight case</x:v>
      </x:c>
      <x:c r="M7" s="20" t="str">
        <x:v>The 2025 increase does not resemble 2021–22: resin was roughly flat and freight was lower over the prior year, while tariffs, labor, and stronger demand were present.</x:v>
      </x:c>
      <x:c r="N7" s="20" t="str">
        <x:v>We cannot claim tariffs, labor, demand, or corporate pricing strategy individually explain the $3 increase.</x:v>
      </x:c>
    </x:row>
    <x:row r="10">
      <x:c r="A10" s="364" t="str">
        <x:v>Finding</x:v>
      </x:c>
      <x:c r="B10" s="364" t="str">
        <x:v>Hard Evidence</x:v>
      </x:c>
      <x:c r="C10" s="364" t="str">
        <x:v>Why It Matters</x:v>
      </x:c>
      <x:c r="D10" s="364" t="str">
        <x:v>Strength</x:v>
      </x:c>
      <x:c r="E10" s="364" t="str">
        <x:v>Paper Role</x:v>
      </x:c>
      <x:c r="F10" s="364" t="str">
        <x:v>Plain-English Takeaway</x:v>
      </x:c>
    </x:row>
    <x:row r="11">
      <x:c r="A11" s="20" t="str">
        <x:v>Raw-level regression is misleading</x:v>
      </x:c>
      <x:c r="B11" s="20" t="str">
        <x:v>Full level model R² ≈ 0.959, but maximum VIF ≈ 185; paint and packaging receive unstable/opposite coefficients despite near-identical trends.</x:v>
      </x:c>
      <x:c r="C11" s="20" t="str">
        <x:v>Shared upward trends can make unrelated or overlapping variables look far more explanatory than they are.</x:v>
      </x:c>
      <x:c r="D11" s="20" t="str">
        <x:v>Very strong diagnostic evidence</x:v>
      </x:c>
      <x:c r="E11" s="20" t="str">
        <x:v>Method / limitations</x:v>
      </x:c>
      <x:c r="F11" s="20" t="str">
        <x:v>A great-looking 96% fit was not trustworthy, so we rejected it.</x:v>
      </x:c>
    </x:row>
    <x:row r="12">
      <x:c r="A12" s="20" t="str">
        <x:v>Annual-change model is more credible</x:v>
      </x:c>
      <x:c r="B12" s="20" t="str">
        <x:v>Preferred model adjusted R² ≈ 0.610 with max VIF ≈ 2.29; freight and tooling are strongest same-period associations.</x:v>
      </x:c>
      <x:c r="C12" s="20" t="str">
        <x:v>The model asks whether changes in cost pressure line up with changes in MSRP inflation, not merely whether both rose over seven years.</x:v>
      </x:c>
      <x:c r="D12" s="20" t="str">
        <x:v>Moderate statistical evidence</x:v>
      </x:c>
      <x:c r="E12" s="20" t="str">
        <x:v>Results</x:v>
      </x:c>
      <x:c r="F12" s="20" t="str">
        <x:v>When the simple upward trend is stripped away, some cost relationships remain and others weaken.</x:v>
      </x:c>
    </x:row>
    <x:row r="13">
      <x:c r="A13" s="20" t="str">
        <x:v>Freight and tooling act more near-term</x:v>
      </x:c>
      <x:c r="B13" s="20" t="str">
        <x:v>Freight/tooling are strongest at 0–3 month common lags and weaken at longer lags.</x:v>
      </x:c>
      <x:c r="C13" s="20" t="str">
        <x:v>Different costs appear to reach pricing on different schedules.</x:v>
      </x:c>
      <x:c r="D13" s="20" t="str">
        <x:v>Moderate</x:v>
      </x:c>
      <x:c r="E13" s="20" t="str">
        <x:v>Results / timing</x:v>
      </x:c>
      <x:c r="F13" s="20" t="str">
        <x:v>Freight and tooling look more like current pressure than one-year-ahead predictors.</x:v>
      </x:c>
    </x:row>
    <x:row r="14">
      <x:c r="A14" s="20" t="str">
        <x:v>Resin may work with a longer lead</x:v>
      </x:c>
      <x:c r="B14" s="20" t="str">
        <x:v>Resin is weaker in the same-period model but becomes strongly positive in 3–12 month common-lag checks; mixed-timing model does not cleanly confirm an independent 12-month effect.</x:v>
      </x:c>
      <x:c r="C14" s="20" t="str">
        <x:v>Resin remains economically relevant without justifying a hand-picked lag.</x:v>
      </x:c>
      <x:c r="D14" s="20" t="str">
        <x:v>Suggestive, not causal</x:v>
      </x:c>
      <x:c r="E14" s="20" t="str">
        <x:v>Results / timing</x:v>
      </x:c>
      <x:c r="F14" s="20" t="str">
        <x:v>Resin may hit earlier in the production cycle, but the exact delay is not proven.</x:v>
      </x:c>
    </x:row>
    <x:row r="15">
      <x:c r="A15" s="20" t="str">
        <x:v>Demand proxy is not carrying the supply result</x:v>
      </x:c>
      <x:c r="B15" s="20" t="str">
        <x:v>Removing the broad toy/hobby demand control leaves the main same-period supply coefficient pattern broadly intact.</x:v>
      </x:c>
      <x:c r="C15" s="20" t="str">
        <x:v>The freight/tooling pattern is not an artifact of one noisy demand proxy.</x:v>
      </x:c>
      <x:c r="D15" s="20" t="str">
        <x:v>Moderate robustness evidence</x:v>
      </x:c>
      <x:c r="E15" s="20" t="str">
        <x:v>Robustness</x:v>
      </x:c>
      <x:c r="F15" s="20" t="str">
        <x:v>Our supply-side result does not disappear when the weak demand control is removed.</x:v>
      </x:c>
    </x:row>
    <x:row r="16">
      <x:c r="A16" s="20" t="str">
        <x:v>Labor matters but cannot be measured precisely</x:v>
      </x:c>
      <x:c r="B16" s="20" t="str">
        <x:v>Historical Hasbro labor was ~17.2%–21.1% of COGS; sensitivity scenarios imply roughly 4.0%–8.1% labor-driven COGS pressure over the period.</x:v>
      </x:c>
      <x:c r="C16" s="20" t="str">
        <x:v>Labor is too important to ignore but too poorly observed at product-line level to force into a precise monthly regression.</x:v>
      </x:c>
      <x:c r="D16" s="20" t="str">
        <x:v>Strong contextual / bounded evidence</x:v>
      </x:c>
      <x:c r="E16" s="20" t="str">
        <x:v>Sensitivity / limitations</x:v>
      </x:c>
      <x:c r="F16" s="20" t="str">
        <x:v>We kept labor in the story without pretending we know Marvel Legends factory payroll.</x:v>
      </x:c>
    </x:row>
    <x:row r="17">
      <x:c r="A17" s="20" t="str">
        <x:v>2025 tariffs are real company-level cost, not just headlines</x:v>
      </x:c>
      <x:c r="B17" s="20" t="str">
        <x:v>Hasbro recognized $44.9m of tariff cost in FY2025; about 4.9% of Consumer Products COGS as a segment-level benchmark.</x:v>
      </x:c>
      <x:c r="C17" s="20" t="str">
        <x:v>This gives the 2025 tariff explanation an observed accounting anchor.</x:v>
      </x:c>
      <x:c r="D17" s="20" t="str">
        <x:v>Strong company-level evidence</x:v>
      </x:c>
      <x:c r="E17" s="20" t="str">
        <x:v>2025 interpretation</x:v>
      </x:c>
      <x:c r="F17" s="20" t="str">
        <x:v>Tariffs were a real Hasbro cost, but we still cannot assign them directly to one Marvel Legends figure.</x:v>
      </x:c>
    </x:row>
    <x:row r="20">
      <x:c r="A20" s="367" t="str">
        <x:v>Research Question</x:v>
      </x:c>
      <x:c r="B20" s="367" t="str">
        <x:v>Current Evidence-Based Answer</x:v>
      </x:c>
      <x:c r="C20" s="367" t="str">
        <x:v>Confidence</x:v>
      </x:c>
      <x:c r="D20" s="367" t="str">
        <x:v>Important Qualification</x:v>
      </x:c>
      <x:c r="E20" s="367" t="str">
        <x:v>Main Evidence</x:v>
      </x:c>
      <x:c r="F20" s="367" t="str">
        <x:v>Do Not Overstate</x:v>
      </x:c>
    </x:row>
    <x:row r="21">
      <x:c r="A21" s="20" t="str">
        <x:v>Which production-cost increases were most strongly associated with Marvel Legends MSRP increases from 2019–2026, and how much can supply-side pressure explain?</x:v>
      </x:c>
      <x:c r="B21" s="20" t="str">
        <x:v>Production costs clearly contributed, but no single cost explains the full price path. The 2021 increase has the clearest resin/freight cost backdrop; the 2022 increase follows broader production inflation; the 2025 increase occurs under a different mix, with weaker resin/freight pressure but real tariff, labor, and demand-side pressure. The evidence therefore supports partial, time-varying cost explanation rather than one stable pass-through story.</x:v>
      </x:c>
      <x:c r="C21" s="20" t="str">
        <x:v>Moderate overall; strongest for timing and direction, weaker for exact dollar attribution.</x:v>
      </x:c>
      <x:c r="D21" s="20" t="str">
        <x:v>Only three upward MSRP decisions exist. Product-line-specific cost accounting is unavailable, and several regressors share common macro trends.</x:v>
      </x:c>
      <x:c r="E21" s="20" t="str">
        <x:v>Transition windows + Hasbro statements + annual-change regression + labor/tariff sensitivity evidence.</x:v>
      </x:c>
      <x:c r="F21" s="20" t="str">
        <x:v>Do not convert regression coefficients or company-wide cost shares into a claimed dollar amount per figure.</x:v>
      </x:c>
    </x:row>
    <x:row r="24">
      <x:c r="A24" s="370" t="str">
        <x:v>Use in Main Paper</x:v>
      </x:c>
      <x:c r="B24" s="370" t="str">
        <x:v>Suggested Plain-English Line</x:v>
      </x:c>
      <x:c r="C24" s="370" t="str">
        <x:v>Why It Works</x:v>
      </x:c>
      <x:c r="D24" s="370" t="str">
        <x:v>Keep / Cut</x:v>
      </x:c>
    </x:row>
    <x:row r="25">
      <x:c r="A25" s="20" t="str">
        <x:v>Opening result</x:v>
      </x:c>
      <x:c r="B25" s="20" t="str">
        <x:v>The three price increases look less like one repeated story than three different pricing moments.</x:v>
      </x:c>
      <x:c r="C25" s="20" t="str">
        <x:v>Frames the evidence before drowning the reader in variables.</x:v>
      </x:c>
      <x:c r="D25" s="20" t="str">
        <x:v>Keep</x:v>
      </x:c>
    </x:row>
    <x:row r="26">
      <x:c r="A26" s="20" t="str">
        <x:v>2021</x:v>
      </x:c>
      <x:c r="B26" s="20" t="str">
        <x:v>The 2021 increase came after the clearest material shock in the sample: resin surged and freight was already elevated.</x:v>
      </x:c>
      <x:c r="C26" s="20" t="str">
        <x:v>Specific, data-led, readable.</x:v>
      </x:c>
      <x:c r="D26" s="20" t="str">
        <x:v>Keep</x:v>
      </x:c>
    </x:row>
    <x:row r="27">
      <x:c r="A27" s="20" t="str">
        <x:v>2022</x:v>
      </x:c>
      <x:c r="B27" s="20" t="str">
        <x:v>By 2022 the pressure was broader. Resin had cooled, but tooling, paint, packaging, and freight had all risen over the prior year.</x:v>
      </x:c>
      <x:c r="C27" s="20" t="str">
        <x:v>Shows changing mechanism instead of forcing one culprit.</x:v>
      </x:c>
      <x:c r="D27" s="20" t="str">
        <x:v>Keep</x:v>
      </x:c>
    </x:row>
    <x:row r="28">
      <x:c r="A28" s="20" t="str">
        <x:v>2025</x:v>
      </x:c>
      <x:c r="B28" s="20" t="str">
        <x:v>The 2025 increase is the break in the pattern. Resin was roughly flat and freight was lower, so the earlier commodity-and-shipping explanation no longer carries the same weight.</x:v>
      </x:c>
      <x:c r="C28" s="20" t="str">
        <x:v>Makes the central empirical contrast clear.</x:v>
      </x:c>
      <x:c r="D28" s="20" t="str">
        <x:v>Keep</x:v>
      </x:c>
    </x:row>
    <x:row r="29">
      <x:c r="A29" s="20" t="str">
        <x:v>Overall</x:v>
      </x:c>
      <x:c r="B29" s="20" t="str">
        <x:v>Production costs mattered, but the data do not support a single cost-based explanation for a 40% MSRP increase.</x:v>
      </x:c>
      <x:c r="C29" s="20" t="str">
        <x:v>Direct answer without pretending to know more than the data allow.</x:v>
      </x:c>
      <x:c r="D29" s="20" t="str">
        <x:v>Keep</x:v>
      </x:c>
    </x:row>
  </x:sheetData>
  <x:mergeCells>
    <x:mergeCell ref="A1:N1"/>
    <x:mergeCell ref="A2:N2"/>
  </x:mergeCells>
  <x:pageMargins left="0.7" right="0.7" top="0.75" bottom="0.75" header="0.3" footer="0.3"/>
</x:worksheet>
</file>

<file path=xl/worksheets/sheet26.xml><?xml version="1.0" encoding="utf-8"?>
<x:worksheet xmlns:x="http://schemas.openxmlformats.org/spreadsheetml/2006/main">
  <x:sheetFormatPr defaultRowHeight="15"/>
  <x:cols>
    <x:col min="1" max="1" width="26" hidden="0" customWidth="1"/>
    <x:col min="2" max="2" width="36" hidden="0" customWidth="1"/>
    <x:col min="3" max="3" width="36" hidden="0" customWidth="1"/>
    <x:col min="4" max="4" width="36" hidden="0" customWidth="1"/>
    <x:col min="5" max="5" width="26" hidden="0" customWidth="1"/>
    <x:col min="6" max="6" width="14" hidden="0" customWidth="1"/>
  </x:cols>
  <x:sheetData>
    <x:row r="1">
      <x:c r="A1" s="356" t="str">
        <x:v>Short Research-Decision Appendix — Draft Language</x:v>
      </x:c>
      <x:c r="B1" s="356"/>
      <x:c r="C1" s="356"/>
      <x:c r="D1" s="356"/>
      <x:c r="E1" s="356"/>
      <x:c r="F1" s="356"/>
    </x:row>
    <x:row r="2">
      <x:c r="A2" s="358" t="str">
        <x:v>These are intentionally short. The appendix should show the reader why major choices were made without turning into a methods lecture.</x:v>
      </x:c>
      <x:c r="B2" s="358"/>
      <x:c r="C2" s="358"/>
      <x:c r="D2" s="358"/>
      <x:c r="E2" s="358"/>
      <x:c r="F2" s="358"/>
    </x:row>
    <x:row r="4">
      <x:c r="A4" s="361" t="str">
        <x:v>Decision</x:v>
      </x:c>
      <x:c r="B4" s="361" t="str">
        <x:v>What We Saw</x:v>
      </x:c>
      <x:c r="C4" s="361" t="str">
        <x:v>What We Did</x:v>
      </x:c>
      <x:c r="D4" s="361" t="str">
        <x:v>Why</x:v>
      </x:c>
      <x:c r="E4" s="361" t="str">
        <x:v>Paper Placement</x:v>
      </x:c>
      <x:c r="F4" s="361" t="str">
        <x:v>Status</x:v>
      </x:c>
    </x:row>
    <x:row r="5">
      <x:c r="A5" s="20" t="str">
        <x:v>Rejected the 96% regression</x:v>
      </x:c>
      <x:c r="B5" s="20" t="str">
        <x:v>MSRP and most cost indexes all rose over time, producing R² near 0.96. The same model had severe multicollinearity.</x:v>
      </x:c>
      <x:c r="C5" s="20" t="str">
        <x:v>Kept it only as a diagnostic and moved to annual changes plus transition windows.</x:v>
      </x:c>
      <x:c r="D5" s="20" t="str">
        <x:v>A great fit is not useful if it mostly says everything went up together.</x:v>
      </x:c>
      <x:c r="E5" s="20" t="str">
        <x:v>Decision appendix / brief methods note</x:v>
      </x:c>
      <x:c r="F5" s="20" t="str">
        <x:v>Keep</x:v>
      </x:c>
    </x:row>
    <x:row r="6">
      <x:c r="A6" s="20" t="str">
        <x:v>Used 'associated with,' not 'caused by'</x:v>
      </x:c>
      <x:c r="B6" s="20" t="str">
        <x:v>Costs, demand, inflation, tariffs, and pricing decisions can move together, and some may affect each other.</x:v>
      </x:c>
      <x:c r="C6" s="20" t="str">
        <x:v>Treated regression as association rather than causal proof.</x:v>
      </x:c>
      <x:c r="D6" s="20" t="str">
        <x:v>The data do not give us a clean experiment that isolates cause.</x:v>
      </x:c>
      <x:c r="E6" s="20" t="str">
        <x:v>Methods / limitations</x:v>
      </x:c>
      <x:c r="F6" s="20" t="str">
        <x:v>Keep</x:v>
      </x:c>
    </x:row>
    <x:row r="7">
      <x:c r="A7" s="20" t="str">
        <x:v>Did not force labor into the monthly regression</x:v>
      </x:c>
      <x:c r="B7" s="20" t="str">
        <x:v>Labor is economically important, but Marvel Legends-specific factory wages and sourcing weights are not public.</x:v>
      </x:c>
      <x:c r="C7" s="20" t="str">
        <x:v>Built low/base/high labor sensitivity ranges instead.</x:v>
      </x:c>
      <x:c r="D7" s="20" t="str">
        <x:v>A range is more honest than a precise number built from guesses.</x:v>
      </x:c>
      <x:c r="E7" s="20" t="str">
        <x:v>Decision appendix / sensitivity</x:v>
      </x:c>
      <x:c r="F7" s="20" t="str">
        <x:v>Keep</x:v>
      </x:c>
    </x:row>
    <x:row r="8">
      <x:c r="A8" s="20" t="str">
        <x:v>Did not count petroleum twice</x:v>
      </x:c>
      <x:c r="B8" s="20" t="str">
        <x:v>Energy prices can affect both plastic feedstocks and freight.</x:v>
      </x:c>
      <x:c r="C8" s="20" t="str">
        <x:v>Used resin and freight as measured cost channels without adding petroleum as another core explanatory variable.</x:v>
      </x:c>
      <x:c r="D8" s="20" t="str">
        <x:v>Adding the same upstream shock again could overstate its importance.</x:v>
      </x:c>
      <x:c r="E8" s="20" t="str">
        <x:v>Decision appendix</x:v>
      </x:c>
      <x:c r="F8" s="20" t="str">
        <x:v>Keep</x:v>
      </x:c>
    </x:row>
    <x:row r="9">
      <x:c r="A9" s="20" t="str">
        <x:v>Did not cherry-pick lags</x:v>
      </x:c>
      <x:c r="B9" s="20" t="str">
        <x:v>Resin looked stronger at longer leads; freight/tooling looked stronger near the price change.</x:v>
      </x:c>
      <x:c r="C9" s="20" t="str">
        <x:v>Compared common 0/3/6/9/12-month lag families and kept the simple baseline.</x:v>
      </x:c>
      <x:c r="D9" s="20" t="str">
        <x:v>Choosing each variable's best-looking lag after the fact would make the model look stronger than the evidence really is.</x:v>
      </x:c>
      <x:c r="E9" s="20" t="str">
        <x:v>Decision appendix / robustness</x:v>
      </x:c>
      <x:c r="F9" s="20" t="str">
        <x:v>Keep</x:v>
      </x:c>
    </x:row>
    <x:row r="10">
      <x:c r="A10" s="20" t="str">
        <x:v>Kept BAF parts and accessories embedded</x:v>
      </x:c>
      <x:c r="B10" s="20" t="str">
        <x:v>BAF pieces and accessories are bundled into standard-wave economics and do not have reliable public per-part cost data.</x:v>
      </x:c>
      <x:c r="C10" s="20" t="str">
        <x:v>Did not treat them as separate cost predictors.</x:v>
      </x:c>
      <x:c r="D10" s="20" t="str">
        <x:v>Splitting them out would create fake precision.</x:v>
      </x:c>
      <x:c r="E10" s="20" t="str">
        <x:v>Methods / sample rules</x:v>
      </x:c>
      <x:c r="F10" s="20" t="str">
        <x:v>Keep</x:v>
      </x:c>
    </x:row>
    <x:row r="11">
      <x:c r="A11" s="20" t="str">
        <x:v>Used a packaging composite</x:v>
      </x:c>
      <x:c r="B11" s="20" t="str">
        <x:v>Ink, adhesives, paperboard, and corrugated packaging moved almost together in levels.</x:v>
      </x:c>
      <x:c r="C11" s="20" t="str">
        <x:v>Combined them into one equal-weight normalized packaging measure.</x:v>
      </x:c>
      <x:c r="D11" s="20" t="str">
        <x:v>Four nearly identical variables would clutter the model and fight for the same statistical credit.</x:v>
      </x:c>
      <x:c r="E11" s="20" t="str">
        <x:v>Decision appendix / methods</x:v>
      </x:c>
      <x:c r="F11" s="20" t="str">
        <x:v>Keep</x:v>
      </x:c>
    </x:row>
    <x:row r="14">
      <x:c r="A14" s="364" t="str">
        <x:v>Writing Rule</x:v>
      </x:c>
      <x:c r="B14" s="364" t="str">
        <x:v>Use</x:v>
      </x:c>
      <x:c r="C14" s="364" t="str">
        <x:v>Avoid</x:v>
      </x:c>
    </x:row>
    <x:row r="15">
      <x:c r="A15" s="20" t="str">
        <x:v>Technical terms</x:v>
      </x:c>
      <x:c r="B15" s="20" t="str">
        <x:v>Use the term once, then explain it in plain English.</x:v>
      </x:c>
      <x:c r="C15" s="20" t="str">
        <x:v>Jargon as a substitute for explanation.</x:v>
      </x:c>
    </x:row>
    <x:row r="16">
      <x:c r="A16" s="20" t="str">
        <x:v>Numbers</x:v>
      </x:c>
      <x:c r="B16" s="20" t="str">
        <x:v>Use numbers when they change the reader's understanding.</x:v>
      </x:c>
      <x:c r="C16" s="20" t="str">
        <x:v>Long statistic dumps that do not support a conclusion.</x:v>
      </x:c>
    </x:row>
    <x:row r="17">
      <x:c r="A17" s="20" t="str">
        <x:v>Conclusions</x:v>
      </x:c>
      <x:c r="B17" s="20" t="str">
        <x:v>Say exactly what the evidence supports.</x:v>
      </x:c>
      <x:c r="C17" s="20" t="str">
        <x:v>Pretending an association is a causal estimate.</x:v>
      </x:c>
    </x:row>
    <x:row r="18">
      <x:c r="A18" s="20" t="str">
        <x:v>Tone</x:v>
      </x:c>
      <x:c r="B18" s="20" t="str">
        <x:v>Write for an intelligent reader who is not an economist.</x:v>
      </x:c>
      <x:c r="C18" s="20" t="str">
        <x:v>Gatekeeper-academic prose or AI-sounding padding.</x:v>
      </x:c>
    </x:row>
  </x:sheetData>
  <x:mergeCells>
    <x:mergeCell ref="A1:F1"/>
    <x:mergeCell ref="A2:F2"/>
  </x:mergeCells>
  <x:pageMargins left="0.7" right="0.7" top="0.75" bottom="0.75" header="0.3" footer="0.3"/>
</x:worksheet>
</file>